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Att Quess\"/>
    </mc:Choice>
  </mc:AlternateContent>
  <xr:revisionPtr revIDLastSave="0" documentId="13_ncr:1_{220BD9C8-8831-48D1-81F8-09FCEE05D90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2" r:id="rId1"/>
    <sheet name="Roster" sheetId="1" r:id="rId2"/>
  </sheets>
  <definedNames>
    <definedName name="_xlnm._FilterDatabase" localSheetId="0" hidden="1">Dashboard!$A$11:$Q$28</definedName>
    <definedName name="_xlnm._FilterDatabase" localSheetId="1" hidden="1">Roster!#REF!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8" i="2" l="1"/>
  <c r="I16" i="2" l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6" i="2" l="1"/>
  <c r="G8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M24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sharedStrings.xml><?xml version="1.0" encoding="utf-8"?>
<sst xmlns="http://schemas.openxmlformats.org/spreadsheetml/2006/main" count="1083" uniqueCount="370">
  <si>
    <t>P</t>
  </si>
  <si>
    <t>Present</t>
  </si>
  <si>
    <t>SL</t>
  </si>
  <si>
    <t>AB</t>
  </si>
  <si>
    <t>PL</t>
  </si>
  <si>
    <t>OFF</t>
  </si>
  <si>
    <t>Psoft No</t>
  </si>
  <si>
    <t>AMZ ID</t>
  </si>
  <si>
    <t>EMP Name</t>
  </si>
  <si>
    <t>Shift</t>
  </si>
  <si>
    <t>OFF1</t>
  </si>
  <si>
    <t>OFF2</t>
  </si>
  <si>
    <t>Department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</si>
  <si>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</si>
  <si>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</si>
  <si>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</si>
  <si>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</si>
  <si>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</si>
  <si>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</si>
  <si>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</si>
  <si>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</si>
  <si>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</si>
  <si>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</si>
  <si>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</si>
  <si>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</si>
  <si>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</si>
  <si>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</si>
  <si>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</si>
  <si>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</si>
  <si>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</si>
  <si>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</si>
  <si>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</si>
  <si>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</si>
  <si>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</si>
  <si>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</si>
  <si>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</si>
  <si>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</si>
  <si>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</si>
  <si>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</si>
  <si>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</si>
  <si>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</si>
  <si>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</si>
  <si>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</si>
  <si>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</si>
  <si>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</si>
  <si>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</si>
  <si>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</si>
  <si>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</si>
  <si>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</si>
  <si>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</si>
  <si>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</si>
  <si>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</si>
  <si>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</si>
  <si>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</si>
  <si>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Saturday</t>
  </si>
  <si>
    <t>Sunday</t>
  </si>
  <si>
    <t>labcamar</t>
  </si>
  <si>
    <t>Tuesday</t>
  </si>
  <si>
    <t>Wednesday</t>
  </si>
  <si>
    <t>Thursday</t>
  </si>
  <si>
    <t>Monday</t>
  </si>
  <si>
    <t>rosadamu</t>
  </si>
  <si>
    <t>Adams,Rose</t>
  </si>
  <si>
    <t>Friday</t>
  </si>
  <si>
    <t>ybbright</t>
  </si>
  <si>
    <t>daangmor</t>
  </si>
  <si>
    <t>emmanhme</t>
  </si>
  <si>
    <t>conteiby</t>
  </si>
  <si>
    <t>jafarsab</t>
  </si>
  <si>
    <t>josdohmo</t>
  </si>
  <si>
    <t>skyeseli</t>
  </si>
  <si>
    <t>Kyerewaa,Selina</t>
  </si>
  <si>
    <t>kofileon</t>
  </si>
  <si>
    <t>onacisbr</t>
  </si>
  <si>
    <t>otooemml</t>
  </si>
  <si>
    <t>Otoo,Emmanuel</t>
  </si>
  <si>
    <t>princeor</t>
  </si>
  <si>
    <t>senncube</t>
  </si>
  <si>
    <t>danjuali</t>
  </si>
  <si>
    <t>Ali Muhammad Danjuma</t>
  </si>
  <si>
    <t>tuleoleo</t>
  </si>
  <si>
    <t>Leo Leonardo Tumay</t>
  </si>
  <si>
    <t>firstmup</t>
  </si>
  <si>
    <t>Mupetiwa,First</t>
  </si>
  <si>
    <t>nkrumaai</t>
  </si>
  <si>
    <t>Alex Nkrumah</t>
  </si>
  <si>
    <t>stelasar</t>
  </si>
  <si>
    <t>Asare,Stella Nyarko</t>
  </si>
  <si>
    <t>noeliayo</t>
  </si>
  <si>
    <t>Ayong,Noeline Nuck</t>
  </si>
  <si>
    <t>bisophij</t>
  </si>
  <si>
    <t>Bio,Sophia</t>
  </si>
  <si>
    <t>obridgbr</t>
  </si>
  <si>
    <t>Bridgette,Bridgette</t>
  </si>
  <si>
    <t>dhobhada</t>
  </si>
  <si>
    <t>Dadirai Dhobha</t>
  </si>
  <si>
    <t>ridadzid</t>
  </si>
  <si>
    <t>Dadzie,Richard</t>
  </si>
  <si>
    <t>inkooder</t>
  </si>
  <si>
    <t>Derrick Inkoom</t>
  </si>
  <si>
    <t>diclklin</t>
  </si>
  <si>
    <t>Dickson Kojo Klinogo</t>
  </si>
  <si>
    <t>durodori</t>
  </si>
  <si>
    <t>Durowaa,Doris</t>
  </si>
  <si>
    <t>twumeben</t>
  </si>
  <si>
    <t>Ebenezer Twumasi</t>
  </si>
  <si>
    <t>festusnd</t>
  </si>
  <si>
    <t>Festus Nii Darko</t>
  </si>
  <si>
    <t>frgontra</t>
  </si>
  <si>
    <t>Francois C Gontran Gbekonsi</t>
  </si>
  <si>
    <t>awagagod</t>
  </si>
  <si>
    <t>Godwin Awagah</t>
  </si>
  <si>
    <t>wiafgord</t>
  </si>
  <si>
    <t>Gordon Wiafe</t>
  </si>
  <si>
    <t>honoadan</t>
  </si>
  <si>
    <t>Honorine Eyandong Adang</t>
  </si>
  <si>
    <t>isaankru</t>
  </si>
  <si>
    <t>Isaac Kwame Nkrumah</t>
  </si>
  <si>
    <t>jescmapu</t>
  </si>
  <si>
    <t>Jescar Mapuranga</t>
  </si>
  <si>
    <t>kamarjoy</t>
  </si>
  <si>
    <t>John Philip Kamara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</si>
  <si>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</si>
  <si>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</si>
  <si>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</si>
  <si>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</si>
  <si>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</si>
  <si>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</si>
  <si>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</si>
  <si>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</si>
  <si>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</si>
  <si>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</si>
  <si>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pkamhuru</t>
  </si>
  <si>
    <t>kkecarls</t>
  </si>
  <si>
    <t>Kendang,Carlson Esah</t>
  </si>
  <si>
    <t>appiakin</t>
  </si>
  <si>
    <t>Kingsley Appiah</t>
  </si>
  <si>
    <t>kwaaboag</t>
  </si>
  <si>
    <t>Kwabena Aboagye-Acheampong</t>
  </si>
  <si>
    <t>makaflor</t>
  </si>
  <si>
    <t>Makamure,Florence Ottilia Tsitsi</t>
  </si>
  <si>
    <t>mambflor</t>
  </si>
  <si>
    <t>Mambo,Flora Nde</t>
  </si>
  <si>
    <t>mercyema</t>
  </si>
  <si>
    <t>Masuka,Mercy</t>
  </si>
  <si>
    <t>maththum</t>
  </si>
  <si>
    <t>Mathe,Thumelo Ethan</t>
  </si>
  <si>
    <t>alamavis</t>
  </si>
  <si>
    <t>Mavis Akua Alabila</t>
  </si>
  <si>
    <t>tanakasm</t>
  </si>
  <si>
    <t>Mbawa,Tanaka Shantel</t>
  </si>
  <si>
    <t>mdutygwe</t>
  </si>
  <si>
    <t>Mdutshulwa,Gwendoline</t>
  </si>
  <si>
    <t>mensacon</t>
  </si>
  <si>
    <t>Mensah,Confidence</t>
  </si>
  <si>
    <t>amizmoha</t>
  </si>
  <si>
    <t>Mohammed Aminu</t>
  </si>
  <si>
    <t>oafmuham</t>
  </si>
  <si>
    <t>Muhammad Farhan</t>
  </si>
  <si>
    <t>nymunemw</t>
  </si>
  <si>
    <t>Munemo,Nyasha Millicent</t>
  </si>
  <si>
    <t>wgracech</t>
  </si>
  <si>
    <t>Nhau,Grace Chido</t>
  </si>
  <si>
    <t>nichwtak</t>
  </si>
  <si>
    <t>Nicholas Takyi</t>
  </si>
  <si>
    <t>nyikadzp</t>
  </si>
  <si>
    <t>Nyikadzino,Patson</t>
  </si>
  <si>
    <t>alberokr</t>
  </si>
  <si>
    <t>Okrah,Alberta Yuwaah</t>
  </si>
  <si>
    <t>oserichm</t>
  </si>
  <si>
    <t>Osei,Richmond</t>
  </si>
  <si>
    <t>eprisbmo</t>
  </si>
  <si>
    <t>Prisbetty Moyo</t>
  </si>
  <si>
    <t>gamprosp</t>
  </si>
  <si>
    <t>Prosper Gamah</t>
  </si>
  <si>
    <t>romemetu</t>
  </si>
  <si>
    <t>Romeo Mesape Metuge</t>
  </si>
  <si>
    <t>rosethea</t>
  </si>
  <si>
    <t>Rose Thea</t>
  </si>
  <si>
    <t>seugrace</t>
  </si>
  <si>
    <t>Serwaa,Grace</t>
  </si>
  <si>
    <t>talenzim</t>
  </si>
  <si>
    <t>Talent Zimbuma</t>
  </si>
  <si>
    <t>tamanyet</t>
  </si>
  <si>
    <t>Tariro Manyetu</t>
  </si>
  <si>
    <t>vingohma</t>
  </si>
  <si>
    <t>Violet Ngoh Mayah</t>
  </si>
  <si>
    <t>diddabdu</t>
  </si>
  <si>
    <t>Abdul Hadi Iddrisu</t>
  </si>
  <si>
    <t>abrighta</t>
  </si>
  <si>
    <t>Adu,Bright Adu </t>
  </si>
  <si>
    <t>naimejes</t>
  </si>
  <si>
    <t>Aime Jesus Nkurunziza</t>
  </si>
  <si>
    <t>etugalex</t>
  </si>
  <si>
    <t>Alexander Etuge</t>
  </si>
  <si>
    <t>alirfanv</t>
  </si>
  <si>
    <t>Ali,Irfan Ali Muhammad</t>
  </si>
  <si>
    <t>awaisido</t>
  </si>
  <si>
    <t>Awa Isidore Kum</t>
  </si>
  <si>
    <t>bethomam</t>
  </si>
  <si>
    <t>Benjamin Yaw Thomas</t>
  </si>
  <si>
    <t>rberinea</t>
  </si>
  <si>
    <t>Berine Amoh Lanyang</t>
  </si>
  <si>
    <t>blamoyam</t>
  </si>
  <si>
    <t>Blama Yamah</t>
  </si>
  <si>
    <t>yblankso</t>
  </si>
  <si>
    <t>Blankson Yeboah</t>
  </si>
  <si>
    <t>tendoc</t>
  </si>
  <si>
    <t>Cedrick Nkemju Tendongmo</t>
  </si>
  <si>
    <t>dwomclif</t>
  </si>
  <si>
    <t>Clifford Dwomoh</t>
  </si>
  <si>
    <t>derwardz</t>
  </si>
  <si>
    <t>Derrick Brew Ward</t>
  </si>
  <si>
    <t>ayenedid</t>
  </si>
  <si>
    <t>Edith Ayengo</t>
  </si>
  <si>
    <t>dasaemma</t>
  </si>
  <si>
    <t>Emmanuel Asante</t>
  </si>
  <si>
    <t>gemmanua</t>
  </si>
  <si>
    <t>Emmanuel Kobina Arthur</t>
  </si>
  <si>
    <t>kpafatma</t>
  </si>
  <si>
    <t>Fatmata Kpaka</t>
  </si>
  <si>
    <t>fodaigak</t>
  </si>
  <si>
    <t>Fongoh Daiga Kingsly</t>
  </si>
  <si>
    <t>kufranc</t>
  </si>
  <si>
    <t>Francis Kuma</t>
  </si>
  <si>
    <t>earthurg</t>
  </si>
  <si>
    <t>Georgina Arthur</t>
  </si>
  <si>
    <t>jarrahad</t>
  </si>
  <si>
    <t>Haddijatou Jarra</t>
  </si>
  <si>
    <t>hamzmohp</t>
  </si>
  <si>
    <t>Hamza Mohammed</t>
  </si>
  <si>
    <t>mensathe</t>
  </si>
  <si>
    <t>Henry Mensah</t>
  </si>
  <si>
    <t>judibaba</t>
  </si>
  <si>
    <t>Judith Atampoka Baba</t>
  </si>
  <si>
    <t>sesakadi</t>
  </si>
  <si>
    <t>Kadiatu Sesay</t>
  </si>
  <si>
    <t>dumsekeh</t>
  </si>
  <si>
    <t>Keng,Dumse Mannette</t>
  </si>
  <si>
    <t>nsamkeri</t>
  </si>
  <si>
    <t>Kerim Nsambimana</t>
  </si>
  <si>
    <t>kingklik</t>
  </si>
  <si>
    <t>Kingsford Kliko</t>
  </si>
  <si>
    <t>appialet</t>
  </si>
  <si>
    <t>Leticia Appiah</t>
  </si>
  <si>
    <t>matilove</t>
  </si>
  <si>
    <t>Lovejoy Matika</t>
  </si>
  <si>
    <t>ganymaid</t>
  </si>
  <si>
    <t>Maidei Ganyata</t>
  </si>
  <si>
    <t>marietch</t>
  </si>
  <si>
    <t>Mariette Gran Cheken</t>
  </si>
  <si>
    <t>memercyo</t>
  </si>
  <si>
    <t>Mercy Ofori</t>
  </si>
  <si>
    <t>ncubemic</t>
  </si>
  <si>
    <t>Michael Chrispen Ncube</t>
  </si>
  <si>
    <t>noamohav</t>
  </si>
  <si>
    <t>Mohamed Noah</t>
  </si>
  <si>
    <t>mohamkav</t>
  </si>
  <si>
    <t>Mohamed S. Kamara</t>
  </si>
  <si>
    <t>arsmuhar</t>
  </si>
  <si>
    <t>Muhammad Ali Arshad</t>
  </si>
  <si>
    <t>mulatifx</t>
  </si>
  <si>
    <t>Muhammad Nauman Latif</t>
  </si>
  <si>
    <t>muramuny</t>
  </si>
  <si>
    <t>Munyaradzi Muranga</t>
  </si>
  <si>
    <t>nawahbes</t>
  </si>
  <si>
    <t>Nawah Bestman Saye</t>
  </si>
  <si>
    <t>ekndapem</t>
  </si>
  <si>
    <t>Ndape Mabel Ekume</t>
  </si>
  <si>
    <t>kunopatr</t>
  </si>
  <si>
    <t>Patricia Kundu</t>
  </si>
  <si>
    <t>adjahpri</t>
  </si>
  <si>
    <t>Prince Adjah</t>
  </si>
  <si>
    <t>osumrama</t>
  </si>
  <si>
    <t>Ramatu Osumanu</t>
  </si>
  <si>
    <t>remahlun</t>
  </si>
  <si>
    <t>Rebecca Mahlunge</t>
  </si>
  <si>
    <t>mbatchar</t>
  </si>
  <si>
    <t>Richard Blais Mbatcha</t>
  </si>
  <si>
    <t>dabarich</t>
  </si>
  <si>
    <t>Richard Boateng Ababio</t>
  </si>
  <si>
    <t>risahrmb</t>
  </si>
  <si>
    <t>Richard Sahr M'Bayo</t>
  </si>
  <si>
    <t>rkyeboah</t>
  </si>
  <si>
    <t>Richard Yeboah</t>
  </si>
  <si>
    <t>rutenmat</t>
  </si>
  <si>
    <t>Rutendo Beaulla Mateyo</t>
  </si>
  <si>
    <t>thusaidu</t>
  </si>
  <si>
    <t>Saidu Brima Thullah</t>
  </si>
  <si>
    <t>bashsaql</t>
  </si>
  <si>
    <t>Saqlain Bashir</t>
  </si>
  <si>
    <t>sadubeas</t>
  </si>
  <si>
    <t>Sarah Adubea</t>
  </si>
  <si>
    <t>boashadr</t>
  </si>
  <si>
    <t>Shadrack Boakye</t>
  </si>
  <si>
    <t>sonsiamj</t>
  </si>
  <si>
    <t>Sia Sonsiama</t>
  </si>
  <si>
    <t>folithel</t>
  </si>
  <si>
    <t>Thelma Esinam Foli</t>
  </si>
  <si>
    <t>vaduyebo</t>
  </si>
  <si>
    <t>Theresa Adu Yeboah</t>
  </si>
  <si>
    <t>waltuffo</t>
  </si>
  <si>
    <t>Wallace Agyemang-Tuffour</t>
  </si>
  <si>
    <t>xmakeyak</t>
  </si>
  <si>
    <t>Yakta Koffi Makedjene</t>
  </si>
  <si>
    <t>foabutap</t>
  </si>
  <si>
    <t>Abu Talib Fofanah</t>
  </si>
  <si>
    <t>larteydo</t>
  </si>
  <si>
    <t>gaasamo</t>
  </si>
  <si>
    <t>Gideon Asamoah</t>
  </si>
  <si>
    <t>ndugakue</t>
  </si>
  <si>
    <t>Kelvin Anankeng Azem Ndugakue</t>
  </si>
  <si>
    <t>priokyer</t>
  </si>
  <si>
    <t>Priscilla Aboagyewaa Okyere</t>
  </si>
  <si>
    <t>simontwe</t>
  </si>
  <si>
    <t>Simon Twene</t>
  </si>
  <si>
    <t>HR</t>
  </si>
  <si>
    <t>shomuzha</t>
  </si>
  <si>
    <t>Shomuzhanga,Lissa</t>
  </si>
  <si>
    <t>javmuhak</t>
  </si>
  <si>
    <t>Usman,Muhammad</t>
  </si>
  <si>
    <t>Actual (without  OT)</t>
  </si>
  <si>
    <t>Actual 
(with OT)</t>
  </si>
  <si>
    <t>HC As per Target %</t>
  </si>
  <si>
    <t>Actual  HC Achived Without OT</t>
  </si>
  <si>
    <t>Delta</t>
  </si>
  <si>
    <t>dogfranc</t>
  </si>
  <si>
    <t>Francis Yaw Dogli</t>
  </si>
  <si>
    <t>BrightBonah</t>
  </si>
  <si>
    <t>DanielTeye-KwasiAngmortey</t>
  </si>
  <si>
    <t>EmmanuelMensah</t>
  </si>
  <si>
    <t>IbrahimAConteh</t>
  </si>
  <si>
    <t>JafarAbdallah</t>
  </si>
  <si>
    <t>JosephGanaDohmovat</t>
  </si>
  <si>
    <t>Kamhuru,SharonShingirirai</t>
  </si>
  <si>
    <t>OnacisBrew</t>
  </si>
  <si>
    <t>PrinceOhenebaJackson</t>
  </si>
  <si>
    <t>SenzoNcube</t>
  </si>
  <si>
    <t>DorcasLarteleyLartey</t>
  </si>
  <si>
    <t>Abdourahamane Camara</t>
  </si>
  <si>
    <t>Fondwhit</t>
  </si>
  <si>
    <t>Whitney-Lois Fenui Fondanui</t>
  </si>
  <si>
    <t>michbawa</t>
  </si>
  <si>
    <t>Michael Assibid Bawa</t>
  </si>
  <si>
    <t>ahmeumef</t>
  </si>
  <si>
    <t>Ahmed Tidjan Mefire Nchankou</t>
  </si>
  <si>
    <t>alectilo</t>
  </si>
  <si>
    <t>AlecTilowakuti</t>
  </si>
  <si>
    <t>tamahdan</t>
  </si>
  <si>
    <t>DanielKwekuTamah</t>
  </si>
  <si>
    <t>opoemman</t>
  </si>
  <si>
    <t>bericyaw</t>
  </si>
  <si>
    <t>EricYawBruku</t>
  </si>
  <si>
    <t>bpetenti</t>
  </si>
  <si>
    <t>PeterNti</t>
  </si>
  <si>
    <t>ribnyame</t>
  </si>
  <si>
    <t>RichmondNyame</t>
  </si>
  <si>
    <t>thtorgbo</t>
  </si>
  <si>
    <t>TheophilusTorgbor</t>
  </si>
  <si>
    <t>ndiranio</t>
  </si>
  <si>
    <t>Diranie Buteh Omah</t>
  </si>
  <si>
    <t>emmfofie</t>
  </si>
  <si>
    <t>Attendance</t>
  </si>
  <si>
    <t>emekweni</t>
  </si>
  <si>
    <t>EmmanuelObaseEkweni</t>
  </si>
  <si>
    <t>sheshame</t>
  </si>
  <si>
    <t>Shameer,Sheikh Muhammad</t>
  </si>
  <si>
    <t>EmmanuelFofie</t>
  </si>
  <si>
    <t>EmmanuelGyamfiOpoku</t>
  </si>
  <si>
    <t>LeonardKofie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</si>
</sst>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0" fillId="0" borderId="0"/>
    <xf numFmtId="0" fontId="11" fillId="0" borderId="0"/>
    <xf numFmtId="0" fontId="1" fillId="0" borderId="0" applyBorder="0"/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9" xfId="1" applyFont="1" applyBorder="1" applyAlignment="1" applyProtection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4" fillId="3" borderId="9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19" xfId="1" applyFont="1" applyBorder="1" applyAlignment="1" applyProtection="1">
      <alignment horizontal="center"/>
    </xf>
    <xf numFmtId="9" fontId="2" fillId="0" borderId="21" xfId="1" applyFont="1" applyBorder="1" applyAlignment="1" applyProtection="1">
      <alignment horizontal="center"/>
    </xf>
    <xf numFmtId="9" fontId="2" fillId="0" borderId="20" xfId="1" applyFont="1" applyBorder="1" applyAlignment="1" applyProtection="1">
      <alignment horizont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0" fontId="5" fillId="5" borderId="1" xfId="1" applyNumberFormat="1" applyFont="1" applyFill="1" applyBorder="1" applyAlignment="1" applyProtection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10" fontId="5" fillId="5" borderId="1" xfId="1" applyNumberFormat="1" applyFont="1" applyFill="1" applyBorder="1" applyAlignment="1" applyProtection="1">
      <alignment horizontal="center"/>
    </xf>
    <xf numFmtId="0" fontId="5" fillId="5" borderId="13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65" fontId="3" fillId="4" borderId="8" xfId="0" applyNumberFormat="1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0" borderId="1" xfId="1" applyNumberFormat="1" applyFont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10" fontId="2" fillId="0" borderId="2" xfId="1" applyNumberFormat="1" applyFont="1" applyBorder="1" applyAlignment="1" applyProtection="1">
      <alignment horizontal="center" vertical="center"/>
    </xf>
    <xf numFmtId="0" fontId="2" fillId="0" borderId="2" xfId="1" applyNumberFormat="1" applyFont="1" applyBorder="1" applyAlignment="1" applyProtection="1">
      <alignment horizontal="center" vertical="center"/>
    </xf>
    <xf numFmtId="10" fontId="5" fillId="5" borderId="2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10" fontId="6" fillId="5" borderId="1" xfId="1" applyNumberFormat="1" applyFont="1" applyFill="1" applyBorder="1" applyAlignment="1" applyProtection="1">
      <alignment horizontal="center" vertical="center" wrapText="1"/>
    </xf>
    <xf numFmtId="10" fontId="2" fillId="6" borderId="1" xfId="1" applyNumberFormat="1" applyFont="1" applyFill="1" applyBorder="1" applyAlignment="1" applyProtection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1" fontId="5" fillId="3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1" fontId="2" fillId="0" borderId="1" xfId="1" applyNumberFormat="1" applyFont="1" applyBorder="1" applyAlignment="1" applyProtection="1">
      <alignment horizontal="center" vertical="center"/>
    </xf>
    <xf numFmtId="1" fontId="2" fillId="6" borderId="1" xfId="1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9" fontId="5" fillId="3" borderId="19" xfId="0" applyNumberFormat="1" applyFont="1" applyFill="1" applyBorder="1" applyAlignment="1">
      <alignment horizontal="center"/>
    </xf>
    <xf numFmtId="9" fontId="5" fillId="3" borderId="20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126"/>
    </tableStyle>
    <tableStyle name="Table Style 2" pivot="0" count="2" xr9:uid="{18C1CFA2-D327-418D-9CE3-705B1B857C1A}">
      <tableStyleElement type="headerRow" dxfId="125"/>
      <tableStyleElement type="firstRowStripe" dxfId="124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1:G152" totalsRowShown="0" headerRowDxfId="123" dataDxfId="121" headerRowBorderDxfId="122" tableBorderDxfId="120" totalsRowBorderDxfId="119" dataCellStyle="Percent">
  <tableColumns count="7">
    <tableColumn id="2" xr3:uid="{2A531BA2-670E-47B6-8C54-A268061DF0C4}" name="Psoft No" dataDxfId="118" dataCellStyle="Percent"/>
    <tableColumn id="3" xr3:uid="{5211A305-297F-4148-BFE0-A822C9572ABC}" name="AMZ ID" dataDxfId="117" dataCellStyle="Comma"/>
    <tableColumn id="4" xr3:uid="{3A164886-BB7E-4199-B547-D765B2D8E209}" name="EMP Name" dataDxfId="116" dataCellStyle="Comma"/>
    <tableColumn id="10" xr3:uid="{3039464D-2B75-4E9D-8C2B-C45F2AE0EA25}" name="OFF1" dataDxfId="115" dataCellStyle="Percent"/>
    <tableColumn id="11" xr3:uid="{FB40016D-4358-4A88-BE20-305D2220A7D7}" name="OFF2" dataDxfId="114" dataCellStyle="Percent"/>
    <tableColumn id="13" xr3:uid="{78CCCED1-4589-4768-88FD-C337A4B51D57}" name="Department" dataDxfId="113" dataCellStyle="Percent"/>
    <tableColumn id="19" xr3:uid="{963E2666-A9AD-44A5-92DF-EE8BBB31D341}" name="Attendance" dataDxfId="112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topLeftCell="A5" zoomScale="80" zoomScaleNormal="85" workbookViewId="0">
      <selection activeCell="E24" sqref="E24"/>
    </sheetView>
  </sheetViews>
  <sheetFormatPr defaultColWidth="11.453125" defaultRowHeight="12" x14ac:dyDescent="0.3"/>
  <cols>
    <col min="1" max="1" width="12" style="2" bestFit="1" customWidth="1"/>
    <col min="2" max="2" width="13.7265625" style="2" bestFit="1" customWidth="1"/>
    <col min="3" max="3" width="14.54296875" style="2" customWidth="1"/>
    <col min="4" max="4" width="13.1796875" style="2" bestFit="1" customWidth="1"/>
    <col min="5" max="5" width="8.453125" style="2" bestFit="1" customWidth="1"/>
    <col min="6" max="6" width="9.81640625" style="2" bestFit="1" customWidth="1"/>
    <col min="7" max="7" width="19.36328125" style="2" customWidth="1"/>
    <col min="8" max="8" width="8.81640625" style="2" customWidth="1"/>
    <col min="9" max="9" width="17.1796875" style="2" bestFit="1" customWidth="1"/>
    <col min="10" max="10" width="11.26953125" style="2" customWidth="1"/>
    <col min="11" max="11" width="14.7265625" style="2" bestFit="1" customWidth="1"/>
    <col min="12" max="12" width="8.7265625" style="2" bestFit="1" customWidth="1"/>
    <col min="13" max="14" width="10.1796875" style="2" customWidth="1"/>
    <col min="15" max="15" width="7.36328125" style="2" bestFit="1" customWidth="1"/>
    <col min="16" max="16" width="7.7265625" style="2" customWidth="1"/>
    <col min="17" max="17" width="7.453125" style="2" customWidth="1"/>
    <col min="18" max="18" width="2" style="2" customWidth="1"/>
    <col min="19" max="19" width="13.81640625" style="2" bestFit="1" customWidth="1"/>
    <col min="20" max="20" width="13.7265625" style="2" bestFit="1" customWidth="1"/>
    <col min="21" max="21" width="9.81640625" style="2" bestFit="1" customWidth="1"/>
    <col min="22" max="22" width="13.1796875" style="2" bestFit="1" customWidth="1"/>
    <col min="23" max="23" width="8.453125" style="2" bestFit="1" customWidth="1"/>
    <col min="24" max="24" width="10" style="2" bestFit="1" customWidth="1"/>
    <col min="25" max="25" width="11.453125" style="2" bestFit="1" customWidth="1"/>
    <col min="26" max="26" width="8.26953125" style="2" bestFit="1" customWidth="1"/>
    <col min="27" max="27" width="10.453125" style="2" bestFit="1" customWidth="1"/>
    <col min="28" max="28" width="8.81640625" style="2" bestFit="1" customWidth="1"/>
    <col min="29" max="29" width="14.7265625" style="2" bestFit="1" customWidth="1"/>
    <col min="30" max="30" width="6.36328125" style="2" bestFit="1" customWidth="1"/>
    <col min="31" max="31" width="2" style="2" customWidth="1"/>
    <col min="32" max="32" width="12.453125" style="2" bestFit="1" customWidth="1"/>
    <col min="33" max="33" width="13.7265625" style="2" bestFit="1" customWidth="1"/>
    <col min="34" max="34" width="9.54296875" style="2" bestFit="1" customWidth="1"/>
    <col min="35" max="35" width="13.1796875" style="2" bestFit="1" customWidth="1"/>
    <col min="36" max="36" width="8.453125" style="2" bestFit="1" customWidth="1"/>
    <col min="37" max="37" width="9.81640625" style="2" bestFit="1" customWidth="1"/>
    <col min="38" max="38" width="11.453125" style="2" bestFit="1" customWidth="1"/>
    <col min="39" max="39" width="8.26953125" style="2" bestFit="1" customWidth="1"/>
    <col min="40" max="40" width="7.54296875" style="2" bestFit="1" customWidth="1"/>
    <col min="41" max="41" width="8.81640625" style="2" bestFit="1" customWidth="1"/>
    <col min="42" max="42" width="14.7265625" style="2" bestFit="1" customWidth="1"/>
    <col min="43" max="43" width="6" style="2" bestFit="1" customWidth="1"/>
    <col min="44" max="16384" width="11.453125" style="2"/>
  </cols>
  <sheetData>
    <row r="1" spans="1:43" ht="21" x14ac:dyDescent="0.3">
      <c r="A1" s="80" t="s">
        <v>44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57"/>
      <c r="O1" s="57"/>
      <c r="P1" s="57"/>
      <c r="Q1" s="57"/>
      <c r="R1" s="79"/>
      <c r="S1" s="76" t="s">
        <v>45</v>
      </c>
      <c r="T1" s="77"/>
      <c r="U1" s="77"/>
      <c r="V1" s="77"/>
      <c r="W1" s="77"/>
      <c r="X1" s="77"/>
      <c r="Y1" s="77"/>
      <c r="Z1" s="77"/>
      <c r="AA1" s="77"/>
      <c r="AB1" s="77"/>
      <c r="AC1" s="77"/>
      <c r="AD1" s="78"/>
      <c r="AE1" s="79"/>
      <c r="AF1" s="76" t="s">
        <v>46</v>
      </c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8"/>
    </row>
    <row r="2" spans="1:43" s="3" customFormat="1" ht="24" x14ac:dyDescent="0.35">
      <c r="A2" s="29" t="s">
        <v>23</v>
      </c>
      <c r="B2" s="44" t="s">
        <v>24</v>
      </c>
      <c r="C2" s="29" t="s">
        <v>25</v>
      </c>
      <c r="D2" s="29" t="s">
        <v>26</v>
      </c>
      <c r="E2" s="29" t="s">
        <v>27</v>
      </c>
      <c r="F2" s="29" t="s">
        <v>28</v>
      </c>
      <c r="G2" s="29" t="s">
        <v>29</v>
      </c>
      <c r="H2" s="90" t="s">
        <v>13</v>
      </c>
      <c r="I2" s="90"/>
      <c r="J2" s="90"/>
      <c r="K2" s="90"/>
      <c r="L2" s="90"/>
      <c r="M2" s="90"/>
      <c r="N2" s="58"/>
      <c r="O2" s="58"/>
      <c r="P2" s="58"/>
      <c r="Q2" s="58"/>
      <c r="R2" s="79"/>
      <c r="S2" s="28" t="s">
        <v>23</v>
      </c>
      <c r="T2" s="29" t="s">
        <v>24</v>
      </c>
      <c r="U2" s="29" t="s">
        <v>25</v>
      </c>
      <c r="V2" s="29" t="s">
        <v>26</v>
      </c>
      <c r="W2" s="29" t="s">
        <v>27</v>
      </c>
      <c r="X2" s="29" t="s">
        <v>28</v>
      </c>
      <c r="Y2" s="29" t="s">
        <v>29</v>
      </c>
      <c r="Z2" s="90" t="s">
        <v>13</v>
      </c>
      <c r="AA2" s="90"/>
      <c r="AB2" s="90"/>
      <c r="AC2" s="90"/>
      <c r="AD2" s="90"/>
      <c r="AE2" s="79"/>
      <c r="AF2" s="28" t="s">
        <v>23</v>
      </c>
      <c r="AG2" s="29" t="s">
        <v>24</v>
      </c>
      <c r="AH2" s="29" t="s">
        <v>25</v>
      </c>
      <c r="AI2" s="29" t="s">
        <v>26</v>
      </c>
      <c r="AJ2" s="29" t="s">
        <v>27</v>
      </c>
      <c r="AK2" s="29" t="s">
        <v>28</v>
      </c>
      <c r="AL2" s="29" t="s">
        <v>29</v>
      </c>
      <c r="AM2" s="90" t="s">
        <v>13</v>
      </c>
      <c r="AN2" s="90"/>
      <c r="AO2" s="90"/>
      <c r="AP2" s="90"/>
      <c r="AQ2" s="106"/>
    </row>
    <row r="3" spans="1:43" s="4" customFormat="1" x14ac:dyDescent="0.35">
      <c r="A3" s="14">
        <v>1273</v>
      </c>
      <c r="B3" s="6" t="e">
        <f>COUNTIFS(Roster!#REF!,"FC Associate III",Roster!#REF!,"AUH1",Roster!#REF!,"Direct")</f>
        <v>#REF!</v>
      </c>
      <c r="C3" s="6" t="e">
        <f>COUNTIFS(Roster!#REF!,"Regular",Roster!#REF!,"AUH1",Roster!#REF!,"Direct")</f>
        <v>#REF!</v>
      </c>
      <c r="D3" s="6" t="e">
        <f>COUNTIFS(Roster!#REF!,"Temporary",Roster!#REF!,"AUH1",Roster!#REF!,"Direct")</f>
        <v>#REF!</v>
      </c>
      <c r="E3" s="6" t="e">
        <f>C3+D3</f>
        <v>#REF!</v>
      </c>
      <c r="F3" s="14" t="e">
        <f>E3</f>
        <v>#REF!</v>
      </c>
      <c r="G3" s="7" t="e">
        <f>E3/F3</f>
        <v>#REF!</v>
      </c>
      <c r="H3" s="91"/>
      <c r="I3" s="73"/>
      <c r="J3" s="73"/>
      <c r="K3" s="73"/>
      <c r="L3" s="73"/>
      <c r="M3" s="73"/>
      <c r="R3" s="79"/>
      <c r="S3" s="15">
        <v>82</v>
      </c>
      <c r="T3" s="6" t="e">
        <f>COUNTIFS(Roster!#REF!,"Hub Supervisor",Roster!#REF!,"Direct",Roster!F:F,"Warehouse Deals")</f>
        <v>#REF!</v>
      </c>
      <c r="U3" s="6" t="e">
        <f>COUNTIFS(Roster!#REF!,"Regular",Roster!#REF!,"Direct",Roster!F:F,"Warehouse Deals")</f>
        <v>#REF!</v>
      </c>
      <c r="V3" s="6" t="e">
        <f>COUNTIFS(Roster!#REF!,"Temporary",Roster!#REF!,"Direct",Roster!F:F,"Warehouse Deals")</f>
        <v>#REF!</v>
      </c>
      <c r="W3" s="6" t="e">
        <f>U3+V3</f>
        <v>#REF!</v>
      </c>
      <c r="X3" s="15" t="e">
        <f>W3</f>
        <v>#REF!</v>
      </c>
      <c r="Y3" s="7" t="e">
        <f>W3/X3</f>
        <v>#REF!</v>
      </c>
      <c r="Z3" s="92"/>
      <c r="AA3" s="93"/>
      <c r="AB3" s="93"/>
      <c r="AC3" s="93"/>
      <c r="AD3" s="94"/>
      <c r="AE3" s="79"/>
      <c r="AF3" s="15">
        <v>12</v>
      </c>
      <c r="AG3" s="6" t="e">
        <f>COUNTIFS(Roster!#REF!,"FC Associate III",Roster!#REF!,"DAD1",Roster!#REF!,"Support")</f>
        <v>#REF!</v>
      </c>
      <c r="AH3" s="6" t="e">
        <f>COUNTIFS(Roster!#REF!,"Regular",Roster!#REF!,"DAD1",Roster!#REF!,"Support")</f>
        <v>#REF!</v>
      </c>
      <c r="AI3" s="6" t="e">
        <f>COUNTIFS(Roster!#REF!,"Temporary",Roster!#REF!,"DAD1",Roster!#REF!,"Support")</f>
        <v>#REF!</v>
      </c>
      <c r="AJ3" s="6" t="e">
        <f>AH3+AI3</f>
        <v>#REF!</v>
      </c>
      <c r="AK3" s="14" t="e">
        <f>AJ3</f>
        <v>#REF!</v>
      </c>
      <c r="AL3" s="7" t="e">
        <f>AJ3/AK3</f>
        <v>#REF!</v>
      </c>
      <c r="AM3" s="73"/>
      <c r="AN3" s="73"/>
      <c r="AO3" s="73"/>
      <c r="AP3" s="73"/>
      <c r="AQ3" s="75"/>
    </row>
    <row r="4" spans="1:43" x14ac:dyDescent="0.3">
      <c r="A4" s="37" t="e">
        <f>Roster!#REF!</f>
        <v>#REF!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4"/>
      <c r="M4" s="75"/>
      <c r="N4" s="4"/>
      <c r="O4" s="4"/>
      <c r="P4" s="4"/>
      <c r="Q4" s="4"/>
      <c r="R4" s="79"/>
      <c r="S4" s="37" t="e">
        <f>Roster!#REF!</f>
        <v>#REF!</v>
      </c>
      <c r="T4" s="73"/>
      <c r="U4" s="73"/>
      <c r="V4" s="73"/>
      <c r="W4" s="73"/>
      <c r="X4" s="73"/>
      <c r="Y4" s="73"/>
      <c r="Z4" s="73"/>
      <c r="AA4" s="73"/>
      <c r="AB4" s="73"/>
      <c r="AC4" s="73"/>
      <c r="AD4" s="75"/>
      <c r="AE4" s="79"/>
      <c r="AF4" s="37" t="e">
        <f>Roster!#REF!</f>
        <v>#REF!</v>
      </c>
      <c r="AG4" s="101"/>
      <c r="AH4" s="101"/>
      <c r="AI4" s="101"/>
      <c r="AJ4" s="101"/>
      <c r="AK4" s="101"/>
      <c r="AL4" s="101"/>
      <c r="AM4" s="101"/>
      <c r="AN4" s="101"/>
      <c r="AO4" s="101"/>
      <c r="AP4" s="101"/>
      <c r="AQ4" s="102"/>
    </row>
    <row r="5" spans="1:43" s="3" customFormat="1" ht="24" x14ac:dyDescent="0.35">
      <c r="A5" s="28" t="s">
        <v>9</v>
      </c>
      <c r="B5" s="29" t="s">
        <v>30</v>
      </c>
      <c r="C5" s="29" t="s">
        <v>31</v>
      </c>
      <c r="D5" s="29" t="s">
        <v>32</v>
      </c>
      <c r="E5" s="29" t="s">
        <v>4</v>
      </c>
      <c r="F5" s="29" t="s">
        <v>19</v>
      </c>
      <c r="G5" s="29" t="s">
        <v>33</v>
      </c>
      <c r="H5" s="29" t="s">
        <v>1</v>
      </c>
      <c r="I5" s="29" t="s">
        <v>51</v>
      </c>
      <c r="J5" s="29" t="s">
        <v>35</v>
      </c>
      <c r="K5" s="29" t="s">
        <v>36</v>
      </c>
      <c r="L5" s="49"/>
      <c r="M5" s="81"/>
      <c r="R5" s="79"/>
      <c r="S5" s="28" t="s">
        <v>9</v>
      </c>
      <c r="T5" s="29" t="s">
        <v>30</v>
      </c>
      <c r="U5" s="29" t="s">
        <v>31</v>
      </c>
      <c r="V5" s="29" t="s">
        <v>32</v>
      </c>
      <c r="W5" s="29" t="s">
        <v>4</v>
      </c>
      <c r="X5" s="29" t="s">
        <v>19</v>
      </c>
      <c r="Y5" s="29" t="s">
        <v>33</v>
      </c>
      <c r="Z5" s="29" t="s">
        <v>1</v>
      </c>
      <c r="AA5" s="29" t="s">
        <v>34</v>
      </c>
      <c r="AB5" s="29" t="s">
        <v>35</v>
      </c>
      <c r="AC5" s="29" t="s">
        <v>36</v>
      </c>
      <c r="AD5" s="95"/>
      <c r="AE5" s="79"/>
      <c r="AF5" s="28" t="s">
        <v>9</v>
      </c>
      <c r="AG5" s="29" t="s">
        <v>30</v>
      </c>
      <c r="AH5" s="29" t="s">
        <v>31</v>
      </c>
      <c r="AI5" s="29" t="s">
        <v>32</v>
      </c>
      <c r="AJ5" s="29" t="s">
        <v>4</v>
      </c>
      <c r="AK5" s="29" t="s">
        <v>33</v>
      </c>
      <c r="AL5" s="29" t="s">
        <v>19</v>
      </c>
      <c r="AM5" s="29" t="s">
        <v>1</v>
      </c>
      <c r="AN5" s="29" t="s">
        <v>34</v>
      </c>
      <c r="AO5" s="29" t="s">
        <v>35</v>
      </c>
      <c r="AP5" s="29" t="s">
        <v>36</v>
      </c>
      <c r="AQ5" s="81"/>
    </row>
    <row r="6" spans="1:43" x14ac:dyDescent="0.3">
      <c r="A6" s="6" t="s">
        <v>15</v>
      </c>
      <c r="B6" s="6" t="e">
        <f>COUNTIFS(Roster!#REF!,"AUH1",Roster!#REF!,"Direct",Roster!#REF!,"Day Shift")</f>
        <v>#REF!</v>
      </c>
      <c r="C6" s="6" t="e">
        <f>SUMIFS($D$12:$D$27,$B$12:$B$27,"Day Shift")</f>
        <v>#REF!</v>
      </c>
      <c r="D6" s="6" t="e">
        <f>SUMIFS($K$12:$K$27,$B$12:$B$27,"Day Shift")</f>
        <v>#REF!</v>
      </c>
      <c r="E6" s="6" t="e">
        <f>SUMIFS($E$12:$E$27,$B$12:$B$27,"Day Shift")</f>
        <v>#REF!</v>
      </c>
      <c r="F6" s="6" t="e">
        <f>COUNTIFS(#REF!,"AUH1",#REF!,"Day Shift",Table1[[#All],[OFF1]],"OT",#REF!,"Direct")+COUNTIFS(#REF!,"AUH1",#REF!,"Day Shift",Table1[[#All],[OFF2]],"OT",#REF!,"Direct")</f>
        <v>#REF!</v>
      </c>
      <c r="G6" s="6" t="e">
        <f>SUMIFS($H$12:$H$26,$B$12:$B$26,"Day Shift")+SUMIFS($I$12:$I$26,$B$12:$B$26,"Day Shift")</f>
        <v>#REF!</v>
      </c>
      <c r="H6" s="6" t="e">
        <f>D6-E6-G6</f>
        <v>#REF!</v>
      </c>
      <c r="I6" s="7" t="e">
        <f>H6/D6</f>
        <v>#REF!</v>
      </c>
      <c r="J6" s="16">
        <v>0.89144280762564998</v>
      </c>
      <c r="K6" s="7" t="e">
        <f>I6/J6</f>
        <v>#REF!</v>
      </c>
      <c r="L6" s="50"/>
      <c r="M6" s="81"/>
      <c r="N6" s="3"/>
      <c r="O6" s="3"/>
      <c r="P6" s="3"/>
      <c r="Q6" s="3"/>
      <c r="R6" s="79"/>
      <c r="S6" s="8" t="s">
        <v>15</v>
      </c>
      <c r="T6" s="6" t="e">
        <f>COUNTIFS(Roster!#REF!,"AUH3",Roster!#REF!,"Direct",Roster!#REF!,"Day Shift")+COUNTIFS(Roster!#REF!,"DDB1",Roster!#REF!,"Direct",Roster!#REF!,"Day Shift")</f>
        <v>#REF!</v>
      </c>
      <c r="U6" s="6" t="e">
        <f>SUMIFS($V$12:$V$14,$T$12:$T$14,"Day Shift")</f>
        <v>#REF!</v>
      </c>
      <c r="V6" s="6" t="e">
        <f>SUMIFS($AC$12:$AC$14,$T$12:$T$14,"Day Shift")</f>
        <v>#REF!</v>
      </c>
      <c r="W6" s="6" t="e">
        <f>SUMIFS($W$12:$W$14,$T$12:$T$14,"Day Shift")</f>
        <v>#REF!</v>
      </c>
      <c r="X6" s="6" t="e">
        <f>COUNTIFS(#REF!,"AUH3",#REF!,"Day Shift",Table1[[#All],[OFF1]],"OT",#REF!,"Direct")+COUNTIFS(#REF!,"AUH3",#REF!,"Day Shift",Table1[[#All],[OFF2]],"OT",#REF!,"Direct")</f>
        <v>#REF!</v>
      </c>
      <c r="Y6" s="6" t="e">
        <f>SUMIFS($Z$12:$Z$14,$T$12:$T$14,"Day Shift")+SUMIFS($AA$12:$AA$14,$T$12:$T$14,"Day Shift")</f>
        <v>#REF!</v>
      </c>
      <c r="Z6" s="6" t="e">
        <f>V6-W6-Y6</f>
        <v>#REF!</v>
      </c>
      <c r="AA6" s="7" t="e">
        <f>Z6/V6</f>
        <v>#REF!</v>
      </c>
      <c r="AB6" s="16">
        <v>0.90103448275862064</v>
      </c>
      <c r="AC6" s="7" t="e">
        <f>AA6/AB6</f>
        <v>#REF!</v>
      </c>
      <c r="AD6" s="96"/>
      <c r="AE6" s="79"/>
      <c r="AF6" s="9" t="s">
        <v>15</v>
      </c>
      <c r="AG6" s="1" t="e">
        <f>COUNTIFS(Roster!#REF!,"DAD1",Roster!#REF!,"Support",Roster!#REF!,"Day Shift")</f>
        <v>#REF!</v>
      </c>
      <c r="AH6" s="1" t="e">
        <f>SUMIFS($AI$12:$AI$15,$AG$12:$AG$15,"Day Shift")</f>
        <v>#REF!</v>
      </c>
      <c r="AI6" s="1" t="e">
        <f>SUMIFS($AP$12:$AP$15,$AG$12:$AG$15,"Day Shift")</f>
        <v>#REF!</v>
      </c>
      <c r="AJ6" s="1" t="e">
        <f>SUMIFS($AJ$12:$AJ$15,$AG$12:$AG$15,"Day Shift")</f>
        <v>#REF!</v>
      </c>
      <c r="AK6" s="1" t="e">
        <f>SUMIFS($AM$12:$AM$15,$AG$12:$AG$15,"Day Shift")+SUMIFS($AN$12:$AN$15,$AG$12:$AG$15,"Day Shift")</f>
        <v>#REF!</v>
      </c>
      <c r="AL6" s="6" t="e">
        <f>COUNTIFS(#REF!,"DAD1",#REF!,"Day Shift",Table1[[#All],[OFF1]],"OT",#REF!,"Direct")+COUNTIFS(#REF!,"DAD1",#REF!,"Day Shift",Table1[[#All],[OFF2]],"OT",#REF!,"Support")</f>
        <v>#REF!</v>
      </c>
      <c r="AM6" s="1" t="e">
        <f>AI6-AJ6-AK6</f>
        <v>#REF!</v>
      </c>
      <c r="AN6" s="10" t="e">
        <f>AM6/AI6</f>
        <v>#REF!</v>
      </c>
      <c r="AO6" s="17">
        <v>0.95120000000000005</v>
      </c>
      <c r="AP6" s="10" t="e">
        <f>AN6/AO6</f>
        <v>#REF!</v>
      </c>
      <c r="AQ6" s="81"/>
    </row>
    <row r="7" spans="1:43" x14ac:dyDescent="0.3">
      <c r="A7" s="8" t="s">
        <v>21</v>
      </c>
      <c r="B7" s="6" t="e">
        <f>COUNTIFS(Roster!#REF!,"AUH1",Roster!#REF!,"Direct",Roster!#REF!,"Mid Shift")</f>
        <v>#REF!</v>
      </c>
      <c r="C7" s="6" t="e">
        <f>SUMIFS($D$12:$D$27,$B$12:$B$27,"Mid Shift")</f>
        <v>#REF!</v>
      </c>
      <c r="D7" s="6" t="e">
        <f>SUMIFS($K$12:$K$27,$B$12:$B$27,"Mid Shift")</f>
        <v>#REF!</v>
      </c>
      <c r="E7" s="6" t="e">
        <f>SUMIFS($E$12:$E$27,$B$12:$B$27,"Mid Shift")</f>
        <v>#REF!</v>
      </c>
      <c r="F7" s="6" t="e">
        <f>COUNTIFS(#REF!,"AUH1",#REF!,"Mid Shift",Table1[[#All],[OFF1]],"OT",#REF!,"Direct")+COUNTIFS(#REF!,"AUH1",#REF!,"Mid Shift",Table1[[#All],[OFF2]],"OT",#REF!,"Direct")</f>
        <v>#REF!</v>
      </c>
      <c r="G7" s="6" t="e">
        <f>SUMIFS($H$12:$H$27,$B$12:$B$27,"Mid Shift")+SUMIFS($I$12:$I$27,$B$12:$B$27,"Mid Shift")</f>
        <v>#REF!</v>
      </c>
      <c r="H7" s="6" t="e">
        <f>D7-E7-G7</f>
        <v>#REF!</v>
      </c>
      <c r="I7" s="7" t="e">
        <f>(H7-F7)/(D7-F7)</f>
        <v>#REF!</v>
      </c>
      <c r="J7" s="16">
        <v>0</v>
      </c>
      <c r="K7" s="43" t="e">
        <f>I7/J7</f>
        <v>#REF!</v>
      </c>
      <c r="L7" s="51"/>
      <c r="M7" s="81"/>
      <c r="N7" s="3"/>
      <c r="O7" s="3"/>
      <c r="P7" s="3"/>
      <c r="Q7" s="3"/>
      <c r="R7" s="79"/>
      <c r="S7" s="8" t="s">
        <v>21</v>
      </c>
      <c r="T7" s="6" t="e">
        <f>COUNTIFS(Roster!#REF!,"AUH3",Roster!#REF!,"Direct",Roster!#REF!,"Mid Shift")+COUNTIFS(Roster!#REF!,"DDB1",Roster!#REF!,"Direct",Roster!#REF!,"Mid Shift")</f>
        <v>#REF!</v>
      </c>
      <c r="U7" s="6" t="e">
        <f>SUMIFS($V$12:$V$14,$T$12:$T$14,"Mid Shift")</f>
        <v>#REF!</v>
      </c>
      <c r="V7" s="6" t="e">
        <f>SUMIFS($AC$12:$AC$14,$T$12:$T$14,"Mid Shift")</f>
        <v>#REF!</v>
      </c>
      <c r="W7" s="6" t="e">
        <f>SUMIFS($W$12:$W$14,$T$12:$T$14,"Mid Shift")</f>
        <v>#REF!</v>
      </c>
      <c r="X7" s="6" t="e">
        <f>COUNTIFS(#REF!,"AUH3",#REF!,"Mid Shift",Table1[[#All],[OFF1]],"OT",#REF!,"Direct")+COUNTIFS(#REF!,"AUH3",#REF!,"Mid Shift",Table1[[#All],[OFF2]],"OT",#REF!,"Direct")</f>
        <v>#REF!</v>
      </c>
      <c r="Y7" s="6" t="e">
        <f>SUMIFS($Z$12:$Z$14,$T$12:$T$14,"Mid Shift")+SUMIFS($AA$12:$AA$14,$T$12:$T$14,"Mid Shift")</f>
        <v>#REF!</v>
      </c>
      <c r="Z7" s="6" t="e">
        <f>V7-W7-Y7</f>
        <v>#REF!</v>
      </c>
      <c r="AA7" s="7" t="e">
        <f>Z7/V7</f>
        <v>#REF!</v>
      </c>
      <c r="AB7" s="16">
        <v>0</v>
      </c>
      <c r="AC7" s="7" t="e">
        <f>AA7/AB7</f>
        <v>#REF!</v>
      </c>
      <c r="AD7" s="96"/>
      <c r="AE7" s="79"/>
      <c r="AF7" s="9" t="s">
        <v>21</v>
      </c>
      <c r="AG7" s="1" t="e">
        <f>COUNTIFS(Roster!#REF!,"DAD1",Roster!#REF!,"Support",Roster!#REF!,"Mid Shift")</f>
        <v>#REF!</v>
      </c>
      <c r="AH7" s="1" t="e">
        <f>SUMIFS($AI$12:$AI$15,$AG$12:$AG$15,"Mid Shift")</f>
        <v>#REF!</v>
      </c>
      <c r="AI7" s="1">
        <f>SUMIFS($AP$12:$AP$15,$AF$12:$AF$15,"Mid Shift")</f>
        <v>0</v>
      </c>
      <c r="AJ7" s="1" t="e">
        <f>SUMIFS($AJ$12:$AJ$15,$AG$12:$AG$15,"Mid Shift")</f>
        <v>#REF!</v>
      </c>
      <c r="AK7" s="1" t="e">
        <f>SUMIFS($AM$12:$AM$15,$AG$12:$AG$15,"Mid Shift")+SUMIFS($AN$12:$AN$15,$AG$12:$AG$15,"Mid Shift")</f>
        <v>#REF!</v>
      </c>
      <c r="AL7" s="6" t="e">
        <f>COUNTIFS(#REF!,"DAD1",#REF!,"Mid Shift",Table1[[#All],[OFF1]],"OT",#REF!,"Direct")+COUNTIFS(#REF!,"DAD1",#REF!,"Mid Shift",Table1[[#All],[OFF2]],"OT",#REF!,"Direct")</f>
        <v>#REF!</v>
      </c>
      <c r="AM7" s="1" t="e">
        <f>AI7-AJ7-AK7</f>
        <v>#REF!</v>
      </c>
      <c r="AN7" s="10" t="e">
        <f>AM7/AI7</f>
        <v>#REF!</v>
      </c>
      <c r="AO7" s="17">
        <v>0.95650000000000002</v>
      </c>
      <c r="AP7" s="10" t="e">
        <f>AN7/AO7</f>
        <v>#REF!</v>
      </c>
      <c r="AQ7" s="81"/>
    </row>
    <row r="8" spans="1:43" x14ac:dyDescent="0.3">
      <c r="A8" s="6" t="s">
        <v>22</v>
      </c>
      <c r="B8" s="6" t="e">
        <f>COUNTIFS(Roster!#REF!,"AUH1",Roster!#REF!,"Direct",Roster!#REF!,"Night Shift")</f>
        <v>#REF!</v>
      </c>
      <c r="C8" s="6" t="e">
        <f>SUMIFS($D$12:$D$27,$B$12:$B$27,"Night Shift")</f>
        <v>#REF!</v>
      </c>
      <c r="D8" s="6" t="e">
        <f>SUMIFS($K$12:$K$27,$B$12:$B$27,"Night Shift")</f>
        <v>#REF!</v>
      </c>
      <c r="E8" s="6" t="e">
        <f>SUMIFS($E$12:$E$27,$B$12:$B$27,"Night Shift")</f>
        <v>#REF!</v>
      </c>
      <c r="F8" s="6" t="e">
        <f>COUNTIFS(#REF!,"AUH1",#REF!,"Night Shift",Table1[[#All],[OFF1]],"OT",#REF!,"Direct")+COUNTIFS(#REF!,"AUH1",#REF!,"Night Shift",Table1[[#All],[OFF2]],"OT",#REF!,"Direct")</f>
        <v>#REF!</v>
      </c>
      <c r="G8" s="6" t="e">
        <f>SUMIFS($H$12:$H$27,$B$12:$B$27,"Night Shift")+SUMIFS($I$12:$I$27,$B$12:$B$27,"Night Shift")</f>
        <v>#REF!</v>
      </c>
      <c r="H8" s="6" t="e">
        <f>D8-E8-G8</f>
        <v>#REF!</v>
      </c>
      <c r="I8" s="7" t="e">
        <f>H8/D8</f>
        <v>#REF!</v>
      </c>
      <c r="J8" s="16">
        <v>0.8643087855297158</v>
      </c>
      <c r="K8" s="7" t="e">
        <f>I8/J8</f>
        <v>#REF!</v>
      </c>
      <c r="L8" s="50"/>
      <c r="M8" s="81"/>
      <c r="N8" s="3"/>
      <c r="O8" s="3"/>
      <c r="P8" s="3"/>
      <c r="Q8" s="3"/>
      <c r="R8" s="79"/>
      <c r="S8" s="8" t="s">
        <v>22</v>
      </c>
      <c r="T8" s="6" t="e">
        <f>COUNTIFS(Roster!#REF!,"AUH3",Roster!#REF!,"Direct",Roster!#REF!,"Night Shift")+COUNTIFS(Roster!#REF!,"DDB1",Roster!#REF!,"Direct",Roster!#REF!,"Night Shift")</f>
        <v>#REF!</v>
      </c>
      <c r="U8" s="6" t="e">
        <f>SUMIFS($V$12:$V$14,$T$12:$T$14,"Night Shift")</f>
        <v>#REF!</v>
      </c>
      <c r="V8" s="6" t="e">
        <f>SUMIFS($AC$12:$AC$14,$T$12:$T$14,"Night Shift")</f>
        <v>#REF!</v>
      </c>
      <c r="W8" s="6" t="e">
        <f>SUMIFS($W$12:$W$14,$T$12:$T$14,"Night Shift")</f>
        <v>#REF!</v>
      </c>
      <c r="X8" s="6" t="e">
        <f>COUNTIFS(#REF!,"AUH3",#REF!,"Night Shift",Table1[[#All],[OFF1]],"OT",#REF!,"Direct")+COUNTIFS(#REF!,"AUH3",#REF!,"Night Shift",Table1[[#All],[OFF2]],"OT",#REF!,"Direct")</f>
        <v>#REF!</v>
      </c>
      <c r="Y8" s="6" t="e">
        <f>SUMIFS($Z$12:$Z$14,$T$12:$T$14,"Night Shift")+SUMIFS($AA$12:$AA$14,$T$12:$T$14,"Night Shift")</f>
        <v>#REF!</v>
      </c>
      <c r="Z8" s="6" t="e">
        <f>V8-W8-Y8</f>
        <v>#REF!</v>
      </c>
      <c r="AA8" s="7" t="e">
        <f>Z8/V8</f>
        <v>#REF!</v>
      </c>
      <c r="AB8" s="16">
        <v>0.80333333333333334</v>
      </c>
      <c r="AC8" s="7" t="e">
        <f>AA8/AB8</f>
        <v>#REF!</v>
      </c>
      <c r="AD8" s="96"/>
      <c r="AE8" s="79"/>
      <c r="AF8" s="9" t="s">
        <v>22</v>
      </c>
      <c r="AG8" s="1" t="e">
        <f>COUNTIFS(Roster!#REF!,"DAD1",Roster!#REF!,"Support",Roster!#REF!,"Night Shift")</f>
        <v>#REF!</v>
      </c>
      <c r="AH8" s="1" t="e">
        <f>SUMIFS($AI$12:$AI$15,$AG$12:$AG$15,"Night Shift")</f>
        <v>#REF!</v>
      </c>
      <c r="AI8" s="1" t="e">
        <f>SUMIFS($AP$12:$AP$15,$AG$12:$AG$15,"Night Shift")</f>
        <v>#REF!</v>
      </c>
      <c r="AJ8" s="1" t="e">
        <f>SUMIFS($AJ$12:$AJ$15,$AG$12:$AG$15,"Night Shift")</f>
        <v>#REF!</v>
      </c>
      <c r="AK8" s="1" t="e">
        <f>SUMIFS($AM$12:$AM$15,$AG$12:$AG$15,"Night Shift")+SUMIFS($AN$12:$AN$15,$AG$12:$AG$15,"Night Shift")</f>
        <v>#REF!</v>
      </c>
      <c r="AL8" s="6" t="e">
        <f>COUNTIFS(#REF!,"DAD1",#REF!,"Night Shift",Table1[[#All],[OFF1]],"OT",#REF!,"Support")+COUNTIFS(#REF!,"DAD1",#REF!,"Night Shift",Table1[[#All],[OFF1]],"OT",#REF!,"Support")</f>
        <v>#REF!</v>
      </c>
      <c r="AM8" s="1" t="e">
        <f>AI8-AJ8-AK8</f>
        <v>#REF!</v>
      </c>
      <c r="AN8" s="10" t="e">
        <f>AM8/AI8</f>
        <v>#REF!</v>
      </c>
      <c r="AO8" s="17">
        <v>0.95679999999999998</v>
      </c>
      <c r="AP8" s="10" t="e">
        <f>AN8/AO8</f>
        <v>#REF!</v>
      </c>
      <c r="AQ8" s="81"/>
    </row>
    <row r="9" spans="1:43" x14ac:dyDescent="0.3">
      <c r="A9" s="29" t="s">
        <v>37</v>
      </c>
      <c r="B9" s="30" t="e">
        <f t="shared" ref="B9:H9" si="0">SUM(B6:B8)</f>
        <v>#REF!</v>
      </c>
      <c r="C9" s="30" t="e">
        <f t="shared" si="0"/>
        <v>#REF!</v>
      </c>
      <c r="D9" s="30" t="e">
        <f t="shared" si="0"/>
        <v>#REF!</v>
      </c>
      <c r="E9" s="30" t="e">
        <f t="shared" si="0"/>
        <v>#REF!</v>
      </c>
      <c r="F9" s="30" t="e">
        <f t="shared" si="0"/>
        <v>#REF!</v>
      </c>
      <c r="G9" s="30" t="e">
        <f>SUM(G6:G8)</f>
        <v>#REF!</v>
      </c>
      <c r="H9" s="30" t="e">
        <f t="shared" si="0"/>
        <v>#REF!</v>
      </c>
      <c r="I9" s="31" t="e">
        <f>H9/D9</f>
        <v>#REF!</v>
      </c>
      <c r="J9" s="31">
        <v>0.88054979253112031</v>
      </c>
      <c r="K9" s="31" t="e">
        <f>I9/J9</f>
        <v>#REF!</v>
      </c>
      <c r="L9" s="52"/>
      <c r="M9" s="81"/>
      <c r="N9" s="3"/>
      <c r="O9" s="59"/>
      <c r="P9" s="60"/>
      <c r="Q9" s="3"/>
      <c r="R9" s="79"/>
      <c r="S9" s="28" t="s">
        <v>37</v>
      </c>
      <c r="T9" s="30" t="e">
        <f t="shared" ref="T9:Z9" si="1">SUM(T6:T8)</f>
        <v>#REF!</v>
      </c>
      <c r="U9" s="30" t="e">
        <f t="shared" si="1"/>
        <v>#REF!</v>
      </c>
      <c r="V9" s="30" t="e">
        <f t="shared" si="1"/>
        <v>#REF!</v>
      </c>
      <c r="W9" s="30" t="e">
        <f t="shared" si="1"/>
        <v>#REF!</v>
      </c>
      <c r="X9" s="30" t="e">
        <f t="shared" si="1"/>
        <v>#REF!</v>
      </c>
      <c r="Y9" s="30" t="e">
        <f t="shared" si="1"/>
        <v>#REF!</v>
      </c>
      <c r="Z9" s="30" t="e">
        <f t="shared" si="1"/>
        <v>#REF!</v>
      </c>
      <c r="AA9" s="31" t="e">
        <f>Z9/V9</f>
        <v>#REF!</v>
      </c>
      <c r="AB9" s="31">
        <v>0.84692307692307689</v>
      </c>
      <c r="AC9" s="31" t="e">
        <f>AA9/AB9</f>
        <v>#REF!</v>
      </c>
      <c r="AD9" s="97"/>
      <c r="AE9" s="79"/>
      <c r="AF9" s="28" t="s">
        <v>37</v>
      </c>
      <c r="AG9" s="30" t="e">
        <f t="shared" ref="AG9:AM9" si="2">SUM(AG6:AG8)</f>
        <v>#REF!</v>
      </c>
      <c r="AH9" s="30" t="e">
        <f t="shared" si="2"/>
        <v>#REF!</v>
      </c>
      <c r="AI9" s="30" t="e">
        <f t="shared" si="2"/>
        <v>#REF!</v>
      </c>
      <c r="AJ9" s="30" t="e">
        <f t="shared" si="2"/>
        <v>#REF!</v>
      </c>
      <c r="AK9" s="30" t="e">
        <f t="shared" si="2"/>
        <v>#REF!</v>
      </c>
      <c r="AL9" s="30" t="e">
        <f t="shared" si="2"/>
        <v>#REF!</v>
      </c>
      <c r="AM9" s="30" t="e">
        <f t="shared" si="2"/>
        <v>#REF!</v>
      </c>
      <c r="AN9" s="34" t="e">
        <f>AM9/AI9</f>
        <v>#REF!</v>
      </c>
      <c r="AO9" s="34">
        <f>AVERAGE(AO6,AO7,AO8)</f>
        <v>0.95483333333333331</v>
      </c>
      <c r="AP9" s="34" t="e">
        <f>AN9/AO9</f>
        <v>#REF!</v>
      </c>
      <c r="AQ9" s="81"/>
    </row>
    <row r="10" spans="1:43" x14ac:dyDescent="0.3">
      <c r="A10" s="8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  <c r="M10" s="75"/>
      <c r="N10" s="4"/>
      <c r="O10" s="4"/>
      <c r="P10" s="4"/>
      <c r="Q10" s="4"/>
      <c r="R10" s="79"/>
      <c r="S10" s="98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100"/>
      <c r="AE10" s="79"/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81"/>
    </row>
    <row r="11" spans="1:43" s="3" customFormat="1" ht="60.5" thickBot="1" x14ac:dyDescent="0.4">
      <c r="A11" s="29" t="s">
        <v>12</v>
      </c>
      <c r="B11" s="29" t="s">
        <v>9</v>
      </c>
      <c r="C11" s="29">
        <v>0</v>
      </c>
      <c r="D11" s="29" t="s">
        <v>5</v>
      </c>
      <c r="E11" s="29" t="s">
        <v>4</v>
      </c>
      <c r="F11" s="29" t="s">
        <v>19</v>
      </c>
      <c r="G11" s="29" t="s">
        <v>53</v>
      </c>
      <c r="H11" s="29" t="s">
        <v>2</v>
      </c>
      <c r="I11" s="29" t="s">
        <v>38</v>
      </c>
      <c r="J11" s="29" t="s">
        <v>37</v>
      </c>
      <c r="K11" s="29" t="s">
        <v>39</v>
      </c>
      <c r="L11" s="29" t="s">
        <v>52</v>
      </c>
      <c r="M11" s="29" t="s">
        <v>321</v>
      </c>
      <c r="N11" s="29" t="s">
        <v>322</v>
      </c>
      <c r="O11" s="29" t="s">
        <v>323</v>
      </c>
      <c r="P11" s="29" t="s">
        <v>324</v>
      </c>
      <c r="Q11" s="29" t="s">
        <v>325</v>
      </c>
      <c r="R11" s="79"/>
      <c r="S11" s="28" t="s">
        <v>12</v>
      </c>
      <c r="T11" s="29" t="s">
        <v>9</v>
      </c>
      <c r="U11" s="29">
        <v>0</v>
      </c>
      <c r="V11" s="29" t="s">
        <v>5</v>
      </c>
      <c r="W11" s="29" t="s">
        <v>4</v>
      </c>
      <c r="X11" s="29" t="s">
        <v>19</v>
      </c>
      <c r="Y11" s="29" t="s">
        <v>1</v>
      </c>
      <c r="Z11" s="29" t="s">
        <v>2</v>
      </c>
      <c r="AA11" s="29" t="s">
        <v>38</v>
      </c>
      <c r="AB11" s="29" t="s">
        <v>37</v>
      </c>
      <c r="AC11" s="29" t="s">
        <v>39</v>
      </c>
      <c r="AD11" s="35" t="s">
        <v>43</v>
      </c>
      <c r="AE11" s="79"/>
      <c r="AF11" s="28" t="s">
        <v>12</v>
      </c>
      <c r="AG11" s="29" t="s">
        <v>9</v>
      </c>
      <c r="AH11" s="29">
        <v>0</v>
      </c>
      <c r="AI11" s="29" t="s">
        <v>5</v>
      </c>
      <c r="AJ11" s="29" t="s">
        <v>4</v>
      </c>
      <c r="AK11" s="29" t="s">
        <v>1</v>
      </c>
      <c r="AL11" s="29" t="s">
        <v>19</v>
      </c>
      <c r="AM11" s="29" t="s">
        <v>2</v>
      </c>
      <c r="AN11" s="29" t="s">
        <v>38</v>
      </c>
      <c r="AO11" s="29" t="s">
        <v>37</v>
      </c>
      <c r="AP11" s="29" t="s">
        <v>39</v>
      </c>
      <c r="AQ11" s="35" t="s">
        <v>43</v>
      </c>
    </row>
    <row r="12" spans="1:43" x14ac:dyDescent="0.3">
      <c r="A12" s="73" t="s">
        <v>16</v>
      </c>
      <c r="B12" s="6" t="s">
        <v>15</v>
      </c>
      <c r="C12" s="6" t="e">
        <f>COUNTIFS(Roster!G:G,"0",Roster!F:F,"ICQA",Roster!#REF!,"Day Shift",Roster!#REF!,"Direct",Roster!#REF!,"AUH1")</f>
        <v>#REF!</v>
      </c>
      <c r="D12" s="6" t="e">
        <f>COUNTIFS(Roster!G:G,"OFF",Roster!F:F,"ICQA",Roster!#REF!,"Day Shift",Roster!#REF!,"Direct",Roster!#REF!,"AUH1")</f>
        <v>#REF!</v>
      </c>
      <c r="E12" s="6" t="e">
        <f>COUNTIFS(Roster!G:G,"PL",Roster!F:F,"ICQA",Roster!#REF!,"Day Shift",Roster!#REF!,"Direct",Roster!#REF!,"AUH1")</f>
        <v>#REF!</v>
      </c>
      <c r="F12" s="6" t="e">
        <f>COUNTIFS(#REF!,"AUH1",#REF!,"Day Shift",Table1[[#All],[OFF1]],"OT",Table1[[#All],[Department]],Dashboard!A12)+COUNTIFS(#REF!,"AUH1",#REF!,"Day Shift",Table1[[#All],[OFF2]],"OT",Table1[[#All],[Department]],Dashboard!A12)</f>
        <v>#REF!</v>
      </c>
      <c r="G12" s="6" t="e">
        <f>COUNTIFS(Roster!G:G,"P",Roster!F:F,"ICQA",Roster!#REF!,"Day Shift",Roster!#REF!,"Direct",Roster!#REF!,"AUH1")</f>
        <v>#REF!</v>
      </c>
      <c r="H12" s="6" t="e">
        <f>COUNTIFS(Roster!G:G,"SL",Roster!F:F,"ICQA",Roster!#REF!,"Day Shift",Roster!#REF!,"Direct",Roster!#REF!,"AUH1")</f>
        <v>#REF!</v>
      </c>
      <c r="I12" s="6" t="e">
        <f>COUNTIFS(Roster!G:G,"AB",Roster!F:F,"ICQA",Roster!#REF!,"Day Shift",Roster!#REF!,"Direct",Roster!#REF!,"AUH1")+COUNTIFS(Roster!G:G,"ABWI",Roster!F:F,"ICQA",Roster!#REF!,"Day Shift",Roster!#REF!,"Direct",Roster!#REF!,"AUH1")</f>
        <v>#REF!</v>
      </c>
      <c r="J12" s="6" t="e">
        <f>SUM(G12:I12,)+SUM(C12:E12)</f>
        <v>#REF!</v>
      </c>
      <c r="K12" s="6" t="e">
        <f>(J12-D12)-C12-F12</f>
        <v>#REF!</v>
      </c>
      <c r="L12" s="53">
        <v>0.89353448275862069</v>
      </c>
      <c r="M12" s="7" t="e">
        <f t="shared" ref="M12:M28" si="3">(G12-F12)/(K12)</f>
        <v>#REF!</v>
      </c>
      <c r="N12" s="7" t="e">
        <f>G12/K12</f>
        <v>#REF!</v>
      </c>
      <c r="O12" s="7"/>
      <c r="P12" s="7"/>
      <c r="Q12" s="7"/>
      <c r="R12" s="79"/>
      <c r="S12" s="89" t="s">
        <v>48</v>
      </c>
      <c r="T12" s="6" t="s">
        <v>15</v>
      </c>
      <c r="U12" s="6" t="e">
        <f>COUNTIFS(Roster!G:G,"0",Roster!F:F,"Warehouse Deals",Roster!#REF!,"Day Shift",Roster!#REF!,"Direct",Roster!#REF!,"AUH3")+COUNTIFS(Roster!G:G,"0",Roster!F:F,"Warehouse Deals",Roster!#REF!,"Day Shift",Roster!#REF!,"Direct",Roster!#REF!,"DDB1")</f>
        <v>#REF!</v>
      </c>
      <c r="V12" s="6" t="e">
        <f>COUNTIFS(Roster!G:G,"OFF",Roster!F:F,"Warehouse Deals",Roster!#REF!,"Day Shift",Roster!#REF!,"Direct",Roster!#REF!,"AUH3")+COUNTIFS(Roster!G:G,"OFF",Roster!F:F,"Warehouse Deals",Roster!#REF!,"Day Shift",Roster!#REF!,"Direct",Roster!#REF!,"DDB1")</f>
        <v>#REF!</v>
      </c>
      <c r="W12" s="6" t="e">
        <f>COUNTIFS(Roster!G:G,"PL",Roster!F:F,"Warehouse Deals",Roster!#REF!,"Day Shift",Roster!#REF!,"Direct",Roster!#REF!,"AUH3")+COUNTIFS(Roster!G:G,"PL",Roster!F:F,"Warehouse Deals",Roster!#REF!,"Day Shift",Roster!#REF!,"Direct",Roster!#REF!,"DDB1")</f>
        <v>#REF!</v>
      </c>
      <c r="X12" s="6" t="e">
        <f>COUNTIFS(#REF!,"AUH3",#REF!,"Day Shift",Table1[[#All],[OFF1]],"OT",Table1[[#All],[Department]],Dashboard!S12)+COUNTIFS(#REF!,"AUH3",#REF!,"Day Shift",Table1[[#All],[OFF2]],"OT",Table1[[#All],[Department]],Dashboard!S12)</f>
        <v>#REF!</v>
      </c>
      <c r="Y12" s="6" t="e">
        <f>COUNTIFS(Roster!G:G,"P",Roster!F:F,"Warehouse Deals",Roster!#REF!,"Day Shift",Roster!#REF!,"Direct",Roster!#REF!,"AUH3")+COUNTIFS(Roster!G:G,"P",Roster!F:F,"Warehouse Deals",Roster!#REF!,"Day Shift",Roster!#REF!,"Direct",Roster!#REF!,"DDB1")</f>
        <v>#REF!</v>
      </c>
      <c r="Z12" s="6" t="e">
        <f>COUNTIFS(Roster!G:G,"SL",Roster!F:F,"Warehouse Deals",Roster!#REF!,"Day Shift",Roster!#REF!,"Direct",Roster!#REF!,"AUH3")+COUNTIFS(Roster!G:G,"SL",Roster!F:F,"Warehouse Deals",Roster!#REF!,"Day Shift",Roster!#REF!,"Direct",Roster!#REF!,"DDB1")</f>
        <v>#REF!</v>
      </c>
      <c r="AA12" s="6" t="e">
        <f>COUNTIFS(Roster!G:G,"AB",Roster!F:F,"Warehouse Deals",Roster!#REF!,"Day Shift",Roster!#REF!,"Direct",Roster!#REF!,"AUH3")+COUNTIFS(Roster!G:G,"AB",Roster!F:F,"Warehouse Deals",Roster!#REF!,"Day Shift",Roster!#REF!,"Direct",Roster!#REF!,"DDB1")+COUNTIFS(Roster!G:G,"ABWI",Roster!F:F,"Warehouse Deals",Roster!#REF!,"Day Shift",Roster!#REF!,"Direct",Roster!#REF!,"AUH3")+COUNTIFS(Roster!G:G,"ABWI",Roster!F:F,"Warehouse Deals",Roster!#REF!,"Day Shift",Roster!#REF!,"Direct",Roster!#REF!,"DDB1")</f>
        <v>#REF!</v>
      </c>
      <c r="AB12" s="6" t="e">
        <f>SUM(Y12:AA12,)+SUM(U12:W12)</f>
        <v>#REF!</v>
      </c>
      <c r="AC12" s="6" t="e">
        <f>(AB12-V12)-U12-X12</f>
        <v>#REF!</v>
      </c>
      <c r="AD12" s="11" t="e">
        <f>Y12/AC12</f>
        <v>#REF!</v>
      </c>
      <c r="AE12" s="79"/>
      <c r="AF12" s="89" t="s">
        <v>48</v>
      </c>
      <c r="AG12" s="1" t="s">
        <v>15</v>
      </c>
      <c r="AH12" s="1" t="e">
        <f>COUNTIFS(Roster!G:G,"0",Roster!F:F,"Warehouse Deals",Roster!#REF!,"Day Shift",Roster!#REF!,"Support",Roster!#REF!,"DAD1")</f>
        <v>#REF!</v>
      </c>
      <c r="AI12" s="1" t="e">
        <f>COUNTIFS(Roster!G:G,"OFF",Roster!F:F,"Warehouse Deals",Roster!#REF!,"Day Shift",Roster!#REF!,"Support",Roster!#REF!,"DAD1")</f>
        <v>#REF!</v>
      </c>
      <c r="AJ12" s="1" t="e">
        <f>COUNTIFS(Roster!G:G,"PL",Roster!F:F,"Warehouse Deals",Roster!#REF!,"Day Shift",Roster!#REF!,"Support",Roster!#REF!,"DAD1")</f>
        <v>#REF!</v>
      </c>
      <c r="AK12" s="1" t="e">
        <f>COUNTIFS(Roster!G:G,"P",Roster!F:F,"Warehouse Deals",Roster!#REF!,"Day Shift",Roster!#REF!,"Support",Roster!#REF!,"DAD1")</f>
        <v>#REF!</v>
      </c>
      <c r="AL12" s="6" t="e">
        <f>COUNTIFS(#REF!,"DAD1",#REF!,"Day Shift",Table1[[#All],[OFF1]],"OT",#REF!,"Support")+COUNTIFS(#REF!,"DAD1",#REF!,"Day Shift",Table1[[#All],[OFF2]],"OT",#REF!,"Support")</f>
        <v>#REF!</v>
      </c>
      <c r="AM12" s="1" t="e">
        <f>COUNTIFS(Roster!G:G,"SL",Roster!F:F,"Warehouse Deals",Roster!#REF!,"Day Shift",Roster!#REF!,"Support",Roster!#REF!,"DAD1")</f>
        <v>#REF!</v>
      </c>
      <c r="AN12" s="1" t="e">
        <f>COUNTIFS(Roster!G:G,"AB",Roster!F:F,"Warehouse Deals",Roster!#REF!,"Day Shift",Roster!#REF!,"Support",Roster!#REF!,"DAD1")+COUNTIFS(Roster!G:G,"ABWI",Roster!F:F,"Warehouse Deals",Roster!#REF!,"Day Shift",Roster!#REF!,"Support",Roster!#REF!,"DAD1")</f>
        <v>#REF!</v>
      </c>
      <c r="AO12" s="1" t="e">
        <f>SUM(AM12:AN12,)+SUM(AH12:AK12)</f>
        <v>#REF!</v>
      </c>
      <c r="AP12" s="24" t="e">
        <f>(AO12-AI12)-AH12</f>
        <v>#REF!</v>
      </c>
      <c r="AQ12" s="25" t="e">
        <f>AK12/AP12</f>
        <v>#REF!</v>
      </c>
    </row>
    <row r="13" spans="1:43" hidden="1" x14ac:dyDescent="0.3">
      <c r="A13" s="82"/>
      <c r="B13" s="62" t="s">
        <v>21</v>
      </c>
      <c r="C13" s="6">
        <v>0</v>
      </c>
      <c r="D13" s="6" t="e">
        <f>COUNTIFS(Roster!G:G,"OFF",Roster!F:F,"ICQA",Roster!#REF!,"Mid Shift",Roster!#REF!,"Direct",Roster!#REF!,"AUH1")</f>
        <v>#REF!</v>
      </c>
      <c r="E13" s="6" t="e">
        <f>COUNTIFS(Roster!G:G,"PL",Roster!F:F,"ICQA",Roster!#REF!,"Mid Shift",Roster!#REF!,"Direct",Roster!#REF!,"AUH1")</f>
        <v>#REF!</v>
      </c>
      <c r="F13" s="6" t="e">
        <f>COUNTIFS(#REF!,"AUH1",#REF!,"Mid Shift",Table1[[#All],[OFF1]],"OT",Table1[[#All],[Department]],Dashboard!A12)+COUNTIFS(#REF!,"AUH1",#REF!,"Mid Shift",Table1[[#All],[OFF2]],"OT",Table1[[#All],[Department]],Dashboard!A12)</f>
        <v>#REF!</v>
      </c>
      <c r="G13" s="6" t="e">
        <f>COUNTIFS(Roster!G:G,"P",Roster!F:F,"ICQA",Roster!#REF!,"Mid Shift",Roster!#REF!,"Direct",Roster!#REF!,"AUH1")</f>
        <v>#REF!</v>
      </c>
      <c r="H13" s="6" t="e">
        <f>COUNTIFS(Roster!G:G,"SL",Roster!F:F,"ICQA",Roster!#REF!,"Mid Shift",Roster!#REF!,"Direct",Roster!#REF!,"AUH1")</f>
        <v>#REF!</v>
      </c>
      <c r="I13" s="6" t="e">
        <f>COUNTIFS(Roster!G:G,"AB",Roster!F:F,"ICQA",Roster!#REF!,"Mid Shift",Roster!#REF!,"Direct",Roster!#REF!,"AUH1")+COUNTIFS(Roster!G:G,"ABWI",Roster!F:F,"ICQA",Roster!#REF!,"Mid Shift",Roster!#REF!,"Direct",Roster!#REF!,"AUH1")</f>
        <v>#REF!</v>
      </c>
      <c r="J13" s="6" t="e">
        <f t="shared" ref="J13:J26" si="4">SUM(G13:I13,)+SUM(C13:E13)</f>
        <v>#REF!</v>
      </c>
      <c r="K13" s="6" t="e">
        <f>(J13-D13)-C13-F13</f>
        <v>#REF!</v>
      </c>
      <c r="L13" s="53"/>
      <c r="M13" s="7" t="e">
        <f t="shared" si="3"/>
        <v>#REF!</v>
      </c>
      <c r="N13" s="7" t="e">
        <f>(H13-G13)/(L13)</f>
        <v>#REF!</v>
      </c>
      <c r="O13" s="7"/>
      <c r="P13" s="7"/>
      <c r="Q13" s="7"/>
      <c r="R13" s="79"/>
      <c r="S13" s="89"/>
      <c r="T13" s="6" t="s">
        <v>21</v>
      </c>
      <c r="U13" s="6" t="e">
        <f>COUNTIFS(Roster!G:G,"0",Roster!F:F,"Warehouse Deals",Roster!#REF!,"Mid Shift",Roster!#REF!,"Direct",Roster!#REF!,"AUH3")+COUNTIFS(Roster!G:G,"0",Roster!F:F,"Warehouse Deals",Roster!#REF!,"Mid Shift",Roster!#REF!,"Direct",Roster!#REF!,"DDB1")</f>
        <v>#REF!</v>
      </c>
      <c r="V13" s="6" t="e">
        <f>COUNTIFS(Roster!G:G,"OFF",Roster!F:F,"Warehouse Deals",Roster!#REF!,"Mid Shift",Roster!#REF!,"Direct",Roster!#REF!,"AUH3")+COUNTIFS(Roster!G:G,"OFF",Roster!F:F,"Warehouse Deals",Roster!#REF!,"Mid Shift",Roster!#REF!,"Direct",Roster!#REF!,"DDB1")</f>
        <v>#REF!</v>
      </c>
      <c r="W13" s="6" t="e">
        <f>COUNTIFS(Roster!G:G,"PL",Roster!F:F,"Warehouse Deals",Roster!#REF!,"Mid Shift",Roster!#REF!,"Direct",Roster!#REF!,"AUH3")+COUNTIFS(Roster!G:G,"PL",Roster!F:F,"Warehouse Deals",Roster!#REF!,"Mid Shift",Roster!#REF!,"Direct",Roster!#REF!,"DDB1")</f>
        <v>#REF!</v>
      </c>
      <c r="X13" s="6" t="e">
        <f>COUNTIFS(#REF!,"AUH3",#REF!,"Mid Shift",Table1[[#All],[OFF1]],"OT",Table1[[#All],[Department]],Dashboard!S12)+COUNTIFS(#REF!,"AUH3",#REF!,"Mid Shift",Table1[[#All],[OFF2]],"OT",Table1[[#All],[Department]],Dashboard!S12)</f>
        <v>#REF!</v>
      </c>
      <c r="Y13" s="6" t="e">
        <f>COUNTIFS(Roster!G:G,"P",Roster!F:F,"Warehouse Deals",Roster!#REF!,"Mid Shift",Roster!#REF!,"Direct",Roster!#REF!,"AUH3")+COUNTIFS(Roster!G:G,"P",Roster!F:F,"Warehouse Deals",Roster!#REF!,"Mid Shift",Roster!#REF!,"Direct",Roster!#REF!,"DDB1")</f>
        <v>#REF!</v>
      </c>
      <c r="Z13" s="6" t="e">
        <f>COUNTIFS(Roster!G:G,"SL",Roster!F:F,"Warehouse Deals",Roster!#REF!,"Mid Shift",Roster!#REF!,"Direct",Roster!#REF!,"AUH3")+COUNTIFS(Roster!G:G,"SL",Roster!F:F,"Warehouse Deals",Roster!#REF!,"Mid Shift",Roster!#REF!,"Direct",Roster!#REF!,"DDB1")</f>
        <v>#REF!</v>
      </c>
      <c r="AA13" s="6" t="e">
        <f>COUNTIFS(Roster!G:G,"AB",Roster!F:F,"Warehouse Deals",Roster!#REF!,"Mid Shift",Roster!#REF!,"Direct",Roster!#REF!,"AUH3")+COUNTIFS(Roster!G:G,"AB",Roster!F:F,"Warehouse Deals",Roster!#REF!,"Mid Shift",Roster!#REF!,"Direct",Roster!#REF!,"DDB1")+COUNTIFS(Roster!G:G,"ABWI",Roster!F:F,"Warehouse Deals",Roster!#REF!,"Mid Shift",Roster!#REF!,"Direct",Roster!#REF!,"AUH3")+COUNTIFS(Roster!G:G,"ABWI",Roster!F:F,"Warehouse Deals",Roster!#REF!,"Mid Shift",Roster!#REF!,"Direct",Roster!#REF!,"DDB1")</f>
        <v>#REF!</v>
      </c>
      <c r="AB13" s="6" t="e">
        <f>SUM(Y13:AA13,)+SUM(U13:W13)</f>
        <v>#REF!</v>
      </c>
      <c r="AC13" s="6" t="e">
        <f>(AB13-V13)-U13-X13</f>
        <v>#REF!</v>
      </c>
      <c r="AD13" s="11" t="e">
        <f>Y13/AC13</f>
        <v>#REF!</v>
      </c>
      <c r="AE13" s="79"/>
      <c r="AF13" s="89"/>
      <c r="AG13" s="1" t="s">
        <v>21</v>
      </c>
      <c r="AH13" s="1" t="e">
        <f>COUNTIFS(Roster!G:G,"0",Roster!F:F,"Warehouse Deals",Roster!#REF!,"Mid Shift",Roster!#REF!,"Support",Roster!#REF!,"DAD1")</f>
        <v>#REF!</v>
      </c>
      <c r="AI13" s="1" t="e">
        <f>COUNTIFS(Roster!G:G,"OFF",Roster!F:F,"Warehouse Deals",Roster!#REF!,"Mid Shift",Roster!#REF!,"Support",Roster!#REF!,"DAD1")</f>
        <v>#REF!</v>
      </c>
      <c r="AJ13" s="1" t="e">
        <f>COUNTIFS(Roster!G:G,"PL",Roster!F:F,"Warehouse Deals",Roster!#REF!,"Mid Shift",Roster!#REF!,"Support",Roster!#REF!,"DAD1")</f>
        <v>#REF!</v>
      </c>
      <c r="AK13" s="1" t="e">
        <f>COUNTIFS(Roster!G:G,"P",Roster!F:F,"Warehouse Deals",Roster!#REF!,"Mid Shift",Roster!#REF!,"Support",Roster!#REF!,"DAD1")</f>
        <v>#REF!</v>
      </c>
      <c r="AL13" s="6" t="e">
        <f>COUNTIFS(#REF!,"DAD1",#REF!,"Mid Shift",Table1[[#All],[OFF1]],"OT",#REF!,"Direct")+COUNTIFS(#REF!,"DAD1",#REF!,"Mid Shift",Table1[[#All],[OFF2]],"OT",#REF!,"Direct")</f>
        <v>#REF!</v>
      </c>
      <c r="AM13" s="1" t="e">
        <f>COUNTIFS(Roster!G:G,"SL",Roster!F:F,"Warehouse Deals",Roster!#REF!,"Mid Shift",Roster!#REF!,"Support",Roster!#REF!,"DAD1")</f>
        <v>#REF!</v>
      </c>
      <c r="AN13" s="1" t="e">
        <f>COUNTIFS(Roster!G:G,"AB",Roster!F:F,"Warehouse Deals",Roster!#REF!,"Mid Shift",Roster!#REF!,"Support",Roster!#REF!,"DAD1")+COUNTIFS(Roster!G:G,"ABWI",Roster!F:F,"Warehouse Deals",Roster!#REF!,"Mid Shift",Roster!#REF!,"Support",Roster!#REF!,"DAD1")</f>
        <v>#REF!</v>
      </c>
      <c r="AO13" s="1" t="e">
        <f>SUM(AM13:AN13,)+SUM(AH13:AK13)</f>
        <v>#REF!</v>
      </c>
      <c r="AP13" s="24" t="e">
        <f>(AO13-AI13)-AH13</f>
        <v>#REF!</v>
      </c>
      <c r="AQ13" s="26" t="e">
        <f>AK13/AP13</f>
        <v>#REF!</v>
      </c>
    </row>
    <row r="14" spans="1:43" ht="12.5" thickBot="1" x14ac:dyDescent="0.35">
      <c r="A14" s="73"/>
      <c r="B14" s="6" t="s">
        <v>22</v>
      </c>
      <c r="C14" s="6" t="e">
        <f>COUNTIFS(Roster!G:G,"0",Roster!F:F,"ICQA",Roster!#REF!,"Night Shift",Roster!#REF!,"Direct",Roster!#REF!,"AUH1")</f>
        <v>#REF!</v>
      </c>
      <c r="D14" s="6" t="e">
        <f>COUNTIFS(Roster!G:G,"OFF",Roster!F:F,"ICQA",Roster!#REF!,"Night Shift",Roster!#REF!,"Direct",Roster!#REF!,"AUH1")</f>
        <v>#REF!</v>
      </c>
      <c r="E14" s="6" t="e">
        <f>COUNTIFS(Roster!G:G,"PL",Roster!F:F,"ICQA",Roster!#REF!,"Night Shift",Roster!#REF!,"Direct",Roster!#REF!,"AUH1")</f>
        <v>#REF!</v>
      </c>
      <c r="F14" s="6" t="e">
        <f>COUNTIFS(#REF!,"AUH1",#REF!,"Night Shift",Table1[[#All],[OFF1]],"OT",Table1[[#All],[Department]],Dashboard!A12)+COUNTIFS(#REF!,"AUH1",#REF!,"Night Shift",Table1[[#All],[OFF2]],"OT",Table1[[#All],[Department]],Dashboard!A12)</f>
        <v>#REF!</v>
      </c>
      <c r="G14" s="6" t="e">
        <f>COUNTIFS(Roster!G:G,"P",Roster!F:F,"ICQA",Roster!#REF!,"Night Shift",Roster!#REF!,"Direct",Roster!#REF!,"AUH1")</f>
        <v>#REF!</v>
      </c>
      <c r="H14" s="6" t="e">
        <f>COUNTIFS(Roster!G:G,"SL",Roster!F:F,"ICQA",Roster!#REF!,"Night Shift",Roster!#REF!,"Direct",Roster!#REF!,"AUH1")</f>
        <v>#REF!</v>
      </c>
      <c r="I14" s="6" t="e">
        <f>COUNTIFS(Roster!G:G,"AB",Roster!F:F,"ICQA",Roster!#REF!,"Night Shift",Roster!#REF!,"Direct",Roster!#REF!,"AUH1")+COUNTIFS(Roster!G:G,"ABWI",Roster!F:F,"ICQA",Roster!#REF!,"Night Shift",Roster!#REF!,"Direct",Roster!#REF!,"AUH1")</f>
        <v>#REF!</v>
      </c>
      <c r="J14" s="6" t="e">
        <f>SUM(G14:I14,)+SUM(C14:E14)</f>
        <v>#REF!</v>
      </c>
      <c r="K14" s="6" t="e">
        <f>(J14-D14)-C14-F14</f>
        <v>#REF!</v>
      </c>
      <c r="L14" s="53">
        <v>0.71250000000000002</v>
      </c>
      <c r="M14" s="7" t="e">
        <f t="shared" si="3"/>
        <v>#REF!</v>
      </c>
      <c r="N14" s="7" t="e">
        <f t="shared" ref="N14:N28" si="5">G14/K14</f>
        <v>#REF!</v>
      </c>
      <c r="O14" s="7"/>
      <c r="P14" s="7"/>
      <c r="Q14" s="7"/>
      <c r="R14" s="79"/>
      <c r="S14" s="89"/>
      <c r="T14" s="6" t="s">
        <v>22</v>
      </c>
      <c r="U14" s="6" t="e">
        <f>COUNTIFS(Roster!G:G,"0",Roster!F:F,"Warehouse Deals",Roster!#REF!,"Mid Shift",Roster!#REF!,"Direct",Roster!#REF!,"AUH3")+COUNTIFS(Roster!G:G,"0",Roster!F:F,"Warehouse Deals",Roster!#REF!,"Mid Shift",Roster!#REF!,"Direct",Roster!#REF!,"DDB1")</f>
        <v>#REF!</v>
      </c>
      <c r="V14" s="6" t="e">
        <f>COUNTIFS(Roster!G:G,"OFF",Roster!F:F,"Warehouse Deals",Roster!#REF!,"Night Shift",Roster!#REF!,"Direct",Roster!#REF!,"AUH3")+COUNTIFS(Roster!G:G,"OFF",Roster!F:F,"Warehouse Deals",Roster!#REF!,"Night Shift",Roster!#REF!,"Direct",Roster!#REF!,"DDB1")</f>
        <v>#REF!</v>
      </c>
      <c r="W14" s="6" t="e">
        <f>COUNTIFS(Roster!G:G,"PL",Roster!F:F,"Warehouse Deals",Roster!#REF!,"Night Shift",Roster!#REF!,"Direct",Roster!#REF!,"AUH3")+COUNTIFS(Roster!G:G,"PL",Roster!F:F,"Warehouse Deals",Roster!#REF!,"Night Shift",Roster!#REF!,"Direct",Roster!#REF!,"DDB1")</f>
        <v>#REF!</v>
      </c>
      <c r="X14" s="6" t="e">
        <f>COUNTIFS(#REF!,"AUH3",#REF!,"Night Shift",Table1[[#All],[OFF1]],"OT",Table1[[#All],[Department]],Dashboard!S12)+COUNTIFS(#REF!,"AUH3",#REF!,"Night Shift",Table1[[#All],[OFF2]],"OT",Table1[[#All],[Department]],Dashboard!S12)</f>
        <v>#REF!</v>
      </c>
      <c r="Y14" s="6" t="e">
        <f>COUNTIFS(Roster!G:G,"P",Roster!F:F,"Warehouse Deals",Roster!#REF!,"Night Shift",Roster!#REF!,"Direct",Roster!#REF!,"AUH3")+COUNTIFS(Roster!G:G,"P",Roster!F:F,"Warehouse Deals",Roster!#REF!,"Night Shift",Roster!#REF!,"Direct",Roster!#REF!,"DDB1")</f>
        <v>#REF!</v>
      </c>
      <c r="Z14" s="6" t="e">
        <f>COUNTIFS(Roster!G:G,"SL",Roster!F:F,"Warehouse Deals",Roster!#REF!,"Night Shift",Roster!#REF!,"Direct",Roster!#REF!,"AUH3")+COUNTIFS(Roster!G:G,"SL",Roster!F:F,"Warehouse Deals",Roster!#REF!,"Night Shift",Roster!#REF!,"Direct",Roster!#REF!,"DDB1")</f>
        <v>#REF!</v>
      </c>
      <c r="AA14" s="6" t="e">
        <f>COUNTIFS(Roster!G:G,"AB",Roster!F:F,"Warehouse Deals",Roster!#REF!,"Night Shift",Roster!#REF!,"Direct",Roster!#REF!,"AUH3")+COUNTIFS(Roster!G:G,"AB",Roster!F:F,"Warehouse Deals",Roster!#REF!,"Night Shift",Roster!#REF!,"Direct",Roster!#REF!,"DDB1")+COUNTIFS(Roster!G:G,"ABWI",Roster!F:F,"Warehouse Deals",Roster!#REF!,"Night Shift",Roster!#REF!,"Direct",Roster!#REF!,"AUH3")+COUNTIFS(Roster!G:G,"ABWI",Roster!F:F,"Warehouse Deals",Roster!#REF!,"Night Shift",Roster!#REF!,"Direct",Roster!#REF!,"DDB1")</f>
        <v>#REF!</v>
      </c>
      <c r="AB14" s="6" t="e">
        <f>SUM(Y14:AA14,)+SUM(U14:W14)</f>
        <v>#REF!</v>
      </c>
      <c r="AC14" s="6" t="e">
        <f>(AB14-V14)-U14-X14</f>
        <v>#REF!</v>
      </c>
      <c r="AD14" s="11" t="e">
        <f>Y14/AC14</f>
        <v>#REF!</v>
      </c>
      <c r="AE14" s="79"/>
      <c r="AF14" s="89"/>
      <c r="AG14" s="1" t="s">
        <v>22</v>
      </c>
      <c r="AH14" s="1" t="e">
        <f>COUNTIFS(Roster!G:G,"0",Roster!F:F,"Warehouse Deals",Roster!#REF!,"Night Shift",Roster!#REF!,"Support",Roster!#REF!,"DAD1")</f>
        <v>#REF!</v>
      </c>
      <c r="AI14" s="1" t="e">
        <f>COUNTIFS(Roster!G:G,"OFF",Roster!F:F,"Warehouse Deals",Roster!#REF!,"Night Shift",Roster!#REF!,"Support",Roster!#REF!,"DAD1")</f>
        <v>#REF!</v>
      </c>
      <c r="AJ14" s="1" t="e">
        <f>COUNTIFS(Roster!G:G,"PL",Roster!F:F,"Warehouse Deals",Roster!#REF!,"Night Shift",Roster!#REF!,"Support",Roster!#REF!,"DAD1")</f>
        <v>#REF!</v>
      </c>
      <c r="AK14" s="1" t="e">
        <f>COUNTIFS(Roster!G:G,"P",Roster!F:F,"Warehouse Deals",Roster!#REF!,"Night Shift",Roster!#REF!,"Support",Roster!#REF!,"DAD1")</f>
        <v>#REF!</v>
      </c>
      <c r="AL14" s="6" t="e">
        <f>COUNTIFS(#REF!,"DAD1",#REF!,"Night Shift",Table1[[#All],[OFF1]],"OT",#REF!,"Support")+COUNTIFS(#REF!,"DAD1",#REF!,"Night Shift",Table1[[#All],[OFF1]],"OT",#REF!,"Support")</f>
        <v>#REF!</v>
      </c>
      <c r="AM14" s="1" t="e">
        <f>COUNTIFS(Roster!G:G,"SL",Roster!F:F,"Warehouse Deals",Roster!#REF!,"Night Shift",Roster!#REF!,"Support",Roster!#REF!,"DAD1")</f>
        <v>#REF!</v>
      </c>
      <c r="AN14" s="1" t="e">
        <f>COUNTIFS(Roster!G:G,"AB",Roster!F:F,"Warehouse Deals",Roster!#REF!,"Night Shift",Roster!#REF!,"Support",Roster!#REF!,"DAD1")+COUNTIFS(Roster!G:G,"ABWI",Roster!F:F,"Warehouse Deals",Roster!#REF!,"Night Shift",Roster!#REF!,"Support",Roster!#REF!,"DAD1")</f>
        <v>#REF!</v>
      </c>
      <c r="AO14" s="1" t="e">
        <f>SUM(AM14:AN14,)+SUM(AH14:AK14)</f>
        <v>#REF!</v>
      </c>
      <c r="AP14" s="24" t="e">
        <f>(AO14-AI14)-AH14</f>
        <v>#REF!</v>
      </c>
      <c r="AQ14" s="27" t="e">
        <f>AK14/AP14</f>
        <v>#REF!</v>
      </c>
    </row>
    <row r="15" spans="1:43" s="5" customFormat="1" x14ac:dyDescent="0.3">
      <c r="A15" s="71" t="s">
        <v>40</v>
      </c>
      <c r="B15" s="71"/>
      <c r="C15" s="18" t="e">
        <f t="shared" ref="C15:J15" si="6">SUM(C12:C14)</f>
        <v>#REF!</v>
      </c>
      <c r="D15" s="18" t="e">
        <f t="shared" si="6"/>
        <v>#REF!</v>
      </c>
      <c r="E15" s="18" t="e">
        <f t="shared" si="6"/>
        <v>#REF!</v>
      </c>
      <c r="F15" s="18" t="e">
        <f t="shared" si="6"/>
        <v>#REF!</v>
      </c>
      <c r="G15" s="19" t="e">
        <f t="shared" si="6"/>
        <v>#REF!</v>
      </c>
      <c r="H15" s="18" t="e">
        <f t="shared" si="6"/>
        <v>#REF!</v>
      </c>
      <c r="I15" s="18" t="e">
        <f t="shared" si="6"/>
        <v>#REF!</v>
      </c>
      <c r="J15" s="18" t="e">
        <f t="shared" si="6"/>
        <v>#REF!</v>
      </c>
      <c r="K15" s="18" t="e">
        <f>SUM(K12:K14)</f>
        <v>#REF!</v>
      </c>
      <c r="L15" s="54">
        <v>0.87159090909090908</v>
      </c>
      <c r="M15" s="48" t="e">
        <f>(G15-F15)/(K15)</f>
        <v>#REF!</v>
      </c>
      <c r="N15" s="48" t="e">
        <f t="shared" si="5"/>
        <v>#REF!</v>
      </c>
      <c r="O15" s="65" t="e">
        <f>L15*K15</f>
        <v>#REF!</v>
      </c>
      <c r="P15" s="65" t="e">
        <f>G15-F15</f>
        <v>#REF!</v>
      </c>
      <c r="Q15" s="65" t="e">
        <f>P15-O15</f>
        <v>#REF!</v>
      </c>
      <c r="R15" s="79"/>
      <c r="S15" s="105" t="s">
        <v>42</v>
      </c>
      <c r="T15" s="71"/>
      <c r="U15" s="18" t="e">
        <f t="shared" ref="U15:AB15" si="7">SUM(U12:U14)</f>
        <v>#REF!</v>
      </c>
      <c r="V15" s="18" t="e">
        <f t="shared" si="7"/>
        <v>#REF!</v>
      </c>
      <c r="W15" s="18" t="e">
        <f t="shared" si="7"/>
        <v>#REF!</v>
      </c>
      <c r="X15" s="18" t="e">
        <f>SUM(X12:X14)</f>
        <v>#REF!</v>
      </c>
      <c r="Y15" s="19" t="e">
        <f t="shared" si="7"/>
        <v>#REF!</v>
      </c>
      <c r="Z15" s="18" t="e">
        <f t="shared" si="7"/>
        <v>#REF!</v>
      </c>
      <c r="AA15" s="18" t="e">
        <f t="shared" si="7"/>
        <v>#REF!</v>
      </c>
      <c r="AB15" s="18" t="e">
        <f t="shared" si="7"/>
        <v>#REF!</v>
      </c>
      <c r="AC15" s="18" t="e">
        <f>SUM(AC12:AC14)</f>
        <v>#REF!</v>
      </c>
      <c r="AD15" s="20"/>
      <c r="AE15" s="79"/>
      <c r="AF15" s="107" t="s">
        <v>48</v>
      </c>
      <c r="AG15" s="108"/>
      <c r="AH15" s="22" t="e">
        <f t="shared" ref="AH15:AN15" si="8">SUM(AH12:AH14)</f>
        <v>#REF!</v>
      </c>
      <c r="AI15" s="22" t="e">
        <f t="shared" si="8"/>
        <v>#REF!</v>
      </c>
      <c r="AJ15" s="22" t="e">
        <f t="shared" si="8"/>
        <v>#REF!</v>
      </c>
      <c r="AK15" s="21" t="e">
        <f t="shared" si="8"/>
        <v>#REF!</v>
      </c>
      <c r="AL15" s="21" t="e">
        <f t="shared" si="8"/>
        <v>#REF!</v>
      </c>
      <c r="AM15" s="22" t="e">
        <f t="shared" si="8"/>
        <v>#REF!</v>
      </c>
      <c r="AN15" s="22" t="e">
        <f t="shared" si="8"/>
        <v>#REF!</v>
      </c>
      <c r="AO15" s="22" t="e">
        <f>SUM(AO12:AO14)</f>
        <v>#REF!</v>
      </c>
      <c r="AP15" s="23" t="e">
        <f>SUM(AP12:AP14)</f>
        <v>#REF!</v>
      </c>
      <c r="AQ15" s="103"/>
    </row>
    <row r="16" spans="1:43" ht="13.5" thickBot="1" x14ac:dyDescent="0.35">
      <c r="A16" s="86" t="s">
        <v>18</v>
      </c>
      <c r="B16" s="45" t="s">
        <v>15</v>
      </c>
      <c r="C16" s="45" t="e">
        <f>COUNTIFS(Roster!G:G,"0",Roster!F:F,"Inbound",Roster!#REF!,"Day Shift",Roster!#REF!,"Direct",Roster!#REF!,"AUH1")</f>
        <v>#REF!</v>
      </c>
      <c r="D16" s="45" t="e">
        <f>COUNTIFS(Roster!G:G,"OFF",Roster!F:F,"Inbound",Roster!#REF!,"Day Shift",Roster!#REF!,"Direct",Roster!#REF!,"AUH1")</f>
        <v>#REF!</v>
      </c>
      <c r="E16" s="45" t="e">
        <f>COUNTIFS(Roster!G:G,"PL",Roster!F:F,"Inbound",Roster!#REF!,"Day Shift",Roster!#REF!,"Direct",Roster!#REF!,"AUH1")</f>
        <v>#REF!</v>
      </c>
      <c r="F16" s="45" t="e">
        <f>COUNTIFS(#REF!,"AUH1",#REF!,"Day Shift",Table1[[#All],[OFF1]],"OT",Table1[[#All],[Department]],Dashboard!A16)+COUNTIFS(#REF!,"AUH1",#REF!,"Day Shift",Table1[[#All],[OFF2]],"OT",Table1[[#All],[Department]],Dashboard!A16)</f>
        <v>#REF!</v>
      </c>
      <c r="G16" s="45" t="e">
        <f>COUNTIFS(Roster!G:G,"P",Roster!F:F,"Inbound",Roster!#REF!,"Day Shift",Roster!#REF!,"Direct",Roster!#REF!,"AUH1")</f>
        <v>#REF!</v>
      </c>
      <c r="H16" s="45" t="e">
        <f>COUNTIFS(Roster!G:G,"SL",Roster!F:F,"Inbound",Roster!#REF!,"Day Shift",Roster!#REF!,"Direct",Roster!#REF!,"AUH1")</f>
        <v>#REF!</v>
      </c>
      <c r="I16" s="45" t="e">
        <f>COUNTIFS(Roster!G:G,"AB",Roster!F:F,"Inbound",Roster!#REF!,"Day Shift",Roster!#REF!,"Direct",Roster!#REF!,"AUH1")+COUNTIFS(Roster!G:G,"ABWI",Roster!F:F,"Inbound",Roster!#REF!,"Day Shift",Roster!#REF!,"Direct",Roster!#REF!,"AUH1")</f>
        <v>#REF!</v>
      </c>
      <c r="J16" s="45" t="e">
        <f t="shared" si="4"/>
        <v>#REF!</v>
      </c>
      <c r="K16" s="45" t="e">
        <f>(J16-D16)-C16-F16</f>
        <v>#REF!</v>
      </c>
      <c r="L16" s="53">
        <v>0.90413424124513619</v>
      </c>
      <c r="M16" s="7" t="e">
        <f t="shared" si="3"/>
        <v>#REF!</v>
      </c>
      <c r="N16" s="7" t="e">
        <f t="shared" si="5"/>
        <v>#REF!</v>
      </c>
      <c r="O16" s="69"/>
      <c r="P16" s="69"/>
      <c r="Q16" s="7"/>
      <c r="R16" s="79"/>
      <c r="S16" s="89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5"/>
      <c r="AE16" s="79"/>
      <c r="AF16" s="109" t="s">
        <v>37</v>
      </c>
      <c r="AG16" s="110"/>
      <c r="AH16" s="33" t="e">
        <f>AH15</f>
        <v>#REF!</v>
      </c>
      <c r="AI16" s="33" t="e">
        <f t="shared" ref="AI16:AP16" si="9">AI15</f>
        <v>#REF!</v>
      </c>
      <c r="AJ16" s="33" t="e">
        <f t="shared" si="9"/>
        <v>#REF!</v>
      </c>
      <c r="AK16" s="33" t="e">
        <f t="shared" si="9"/>
        <v>#REF!</v>
      </c>
      <c r="AL16" s="33" t="e">
        <f t="shared" si="9"/>
        <v>#REF!</v>
      </c>
      <c r="AM16" s="33" t="e">
        <f t="shared" si="9"/>
        <v>#REF!</v>
      </c>
      <c r="AN16" s="33" t="e">
        <f t="shared" si="9"/>
        <v>#REF!</v>
      </c>
      <c r="AO16" s="33" t="e">
        <f t="shared" si="9"/>
        <v>#REF!</v>
      </c>
      <c r="AP16" s="36" t="e">
        <f t="shared" si="9"/>
        <v>#REF!</v>
      </c>
      <c r="AQ16" s="104"/>
    </row>
    <row r="17" spans="1:43" hidden="1" x14ac:dyDescent="0.3">
      <c r="A17" s="87"/>
      <c r="B17" s="62" t="s">
        <v>21</v>
      </c>
      <c r="C17" s="6" t="e">
        <f>COUNTIFS(Roster!G:G,"0",Roster!F:F,"Inbound",Roster!#REF!,"Mid Shift",Roster!#REF!,"Direct",Roster!#REF!,"AUH1")</f>
        <v>#REF!</v>
      </c>
      <c r="D17" s="6" t="e">
        <f>COUNTIFS(Roster!G:G,"OFF",Roster!F:F,"Inbound",Roster!#REF!,"Mid Shift",Roster!#REF!,"Direct",Roster!#REF!,"AUH1")</f>
        <v>#REF!</v>
      </c>
      <c r="E17" s="6" t="e">
        <f>COUNTIFS(Roster!G:G,"PL",Roster!F:F,"Inbound",Roster!#REF!,"Mid Shift",Roster!#REF!,"Direct",Roster!#REF!,"AUH1")</f>
        <v>#REF!</v>
      </c>
      <c r="F17" s="6" t="e">
        <f>COUNTIFS(#REF!,"AUH1",#REF!,"Mid Shift",Table1[[#All],[OFF1]],"OT",Table1[[#All],[Department]],Dashboard!A16)+COUNTIFS(#REF!,"AUH1",#REF!,"Mid Shift",Table1[[#All],[OFF2]],"OT",Table1[[#All],[Department]],Dashboard!A16)</f>
        <v>#REF!</v>
      </c>
      <c r="G17" s="6" t="e">
        <f>COUNTIFS(Roster!G:G,"P",Roster!F:F,"Inbound",Roster!#REF!,"Mid Shift",Roster!#REF!,"Direct",Roster!#REF!,"AUH1")</f>
        <v>#REF!</v>
      </c>
      <c r="H17" s="6" t="e">
        <f>COUNTIFS(Roster!G:G,"SL",Roster!F:F,"Inbound",Roster!#REF!,"Mid Shift",Roster!#REF!,"Direct",Roster!#REF!,"AUH1")</f>
        <v>#REF!</v>
      </c>
      <c r="I17" s="6" t="e">
        <f>COUNTIFS(Roster!G:G,"AB",Roster!F:F,"Inbound",Roster!#REF!,"Mid Shift",Roster!#REF!,"Direct",Roster!#REF!,"AUH1")+COUNTIFS(Roster!G:G,"ABWI",Roster!F:F,"Inbound",Roster!#REF!,"Mid Shift",Roster!#REF!,"Direct",Roster!#REF!,"AUH1")</f>
        <v>#REF!</v>
      </c>
      <c r="J17" s="6" t="e">
        <f t="shared" si="4"/>
        <v>#REF!</v>
      </c>
      <c r="K17" s="45" t="e">
        <f>(J17-D17)-C17-F17</f>
        <v>#REF!</v>
      </c>
      <c r="L17" s="53"/>
      <c r="M17" s="7" t="e">
        <f t="shared" si="3"/>
        <v>#REF!</v>
      </c>
      <c r="N17" s="7" t="e">
        <f t="shared" si="5"/>
        <v>#REF!</v>
      </c>
      <c r="O17" s="69"/>
      <c r="P17" s="69"/>
      <c r="Q17" s="7"/>
      <c r="R17" s="79"/>
      <c r="S17" s="28" t="s">
        <v>12</v>
      </c>
      <c r="T17" s="29" t="s">
        <v>9</v>
      </c>
      <c r="U17" s="29">
        <v>0</v>
      </c>
      <c r="V17" s="29" t="s">
        <v>5</v>
      </c>
      <c r="W17" s="29" t="s">
        <v>4</v>
      </c>
      <c r="X17" s="29" t="s">
        <v>19</v>
      </c>
      <c r="Y17" s="30" t="s">
        <v>1</v>
      </c>
      <c r="Z17" s="29" t="s">
        <v>2</v>
      </c>
      <c r="AA17" s="29" t="s">
        <v>38</v>
      </c>
      <c r="AB17" s="29" t="s">
        <v>37</v>
      </c>
      <c r="AC17" s="29" t="s">
        <v>39</v>
      </c>
      <c r="AD17" s="32" t="s">
        <v>43</v>
      </c>
      <c r="AE17" s="79"/>
    </row>
    <row r="18" spans="1:43" x14ac:dyDescent="0.3">
      <c r="A18" s="82"/>
      <c r="B18" s="6" t="s">
        <v>22</v>
      </c>
      <c r="C18" s="6" t="e">
        <f>COUNTIFS(Roster!G:G,"0",Roster!F:F,"Inbound",Roster!#REF!,"Night Shift",Roster!#REF!,"Direct",Roster!#REF!,"AUH1")</f>
        <v>#REF!</v>
      </c>
      <c r="D18" s="6" t="e">
        <f>COUNTIFS(Roster!G:G,"OFF",Roster!F:F,"Inbound",Roster!#REF!,"Night Shift",Roster!#REF!,"Direct",Roster!#REF!,"AUH1")</f>
        <v>#REF!</v>
      </c>
      <c r="E18" s="6" t="e">
        <f>COUNTIFS(Roster!G:G,"PL",Roster!F:F,"Inbound",Roster!#REF!,"Night Shift",Roster!#REF!,"Direct",Roster!#REF!,"AUH1")</f>
        <v>#REF!</v>
      </c>
      <c r="F18" s="6" t="e">
        <f>COUNTIFS(#REF!,"AUH1",#REF!,"Night Shift",Table1[[#All],[OFF1]],"OT",Table1[[#All],[Department]],Dashboard!A16)+COUNTIFS(#REF!,"AUH1",#REF!,"Night Shift",Table1[[#All],[OFF2]],"OT",Table1[[#All],[Department]],Dashboard!A16)</f>
        <v>#REF!</v>
      </c>
      <c r="G18" s="6" t="e">
        <f>COUNTIFS(Roster!G:G,"P",Roster!F:F,"Inbound",Roster!#REF!,"Night Shift",Roster!#REF!,"Direct",Roster!#REF!,"AUH1")</f>
        <v>#REF!</v>
      </c>
      <c r="H18" s="6" t="e">
        <f>COUNTIFS(Roster!G:G,"SL",Roster!F:F,"Inbound",Roster!#REF!,"Night Shift",Roster!#REF!,"Direct",Roster!#REF!,"AUH1")</f>
        <v>#REF!</v>
      </c>
      <c r="I18" s="6" t="e">
        <f>COUNTIFS(Roster!G:G,"AB",Roster!F:F,"Inbound",Roster!#REF!,"Night Shift",Roster!#REF!,"Direct",Roster!#REF!,"AUH1")+COUNTIFS(Roster!G:G,"ABWI",Roster!F:F,"Inbound",Roster!#REF!,"Night Shift",Roster!#REF!,"Direct",Roster!#REF!,"AUH1")</f>
        <v>#REF!</v>
      </c>
      <c r="J18" s="6" t="e">
        <f t="shared" si="4"/>
        <v>#REF!</v>
      </c>
      <c r="K18" s="45" t="e">
        <f>(J18-D18)-C18-F18</f>
        <v>#REF!</v>
      </c>
      <c r="L18" s="53">
        <v>0.9</v>
      </c>
      <c r="M18" s="7" t="e">
        <f t="shared" si="3"/>
        <v>#REF!</v>
      </c>
      <c r="N18" s="7" t="e">
        <f t="shared" si="5"/>
        <v>#REF!</v>
      </c>
      <c r="O18" s="69"/>
      <c r="P18" s="69"/>
      <c r="Q18" s="7"/>
      <c r="R18" s="79"/>
      <c r="S18" s="89" t="s">
        <v>48</v>
      </c>
      <c r="T18" s="6" t="s">
        <v>17</v>
      </c>
      <c r="U18" s="6" t="e">
        <f>COUNTIFS(Roster!#REF!,"AUH3",Roster!#REF!,"Direct",Roster!G:G,"0",Roster!#REF!,"Regular")+COUNTIFS(Roster!#REF!,"DDB1",Roster!#REF!,"Direct",Roster!G:G,"0",Roster!#REF!,"Regular")</f>
        <v>#REF!</v>
      </c>
      <c r="V18" s="6" t="e">
        <f>COUNTIFS(Roster!#REF!,"AUH3",Roster!#REF!,"Direct",Roster!G:G,"OFF",Roster!#REF!,"Regular")+COUNTIFS(Roster!#REF!,"DDB1",Roster!#REF!,"Direct",Roster!G:G,"OFF",Roster!#REF!,"Regular")</f>
        <v>#REF!</v>
      </c>
      <c r="W18" s="6" t="e">
        <f>COUNTIFS(Roster!#REF!,"AUH3",Roster!#REF!,"Direct",Roster!G:G,"PL",Roster!#REF!,"Regular")+COUNTIFS(Roster!#REF!,"DDB1",Roster!#REF!,"Direct",Roster!G:G,"PL",Roster!#REF!,"Regular")</f>
        <v>#REF!</v>
      </c>
      <c r="X18" s="6" t="e">
        <f>COUNTIFS(#REF!,"AUH3",#REF!,"Regular",Table1[[#All],[OFF1]],"OT",Table1[[#All],[Department]],Dashboard!S18)+COUNTIFS(#REF!,"AUH3",#REF!,"Regular",Table1[[#All],[OFF2]],"OT",Table1[[#All],[Department]],Dashboard!S18)</f>
        <v>#REF!</v>
      </c>
      <c r="Y18" s="6" t="e">
        <f>COUNTIFS(Roster!#REF!,"AUH3",Roster!#REF!,"Direct",Roster!G:G,"P",Roster!#REF!,"Regular")+COUNTIFS(Roster!#REF!,"DDB1",Roster!#REF!,"Direct",Roster!G:G,"P",Roster!#REF!,"Regular")</f>
        <v>#REF!</v>
      </c>
      <c r="Z18" s="6" t="e">
        <f>COUNTIFS(Roster!#REF!,"AUH3",Roster!#REF!,"Direct",Roster!G:G,"SL",Roster!#REF!,"Regular")+COUNTIFS(Roster!#REF!,"DDB1",Roster!#REF!,"Direct",Roster!G:G,"SL",Roster!#REF!,"Regular")</f>
        <v>#REF!</v>
      </c>
      <c r="AA18" s="6" t="e">
        <f>COUNTIFS(Roster!#REF!,"AUH3",Roster!#REF!,"Direct",Roster!G:G,"AB",Roster!#REF!,"Regular")+COUNTIFS(Roster!#REF!,"DDB1",Roster!#REF!,"Direct",Roster!G:G,"AB",Roster!#REF!,"Regular")+COUNTIFS(Roster!#REF!,"AUH3",Roster!#REF!,"Direct",Roster!G:G,"ABWI",Roster!#REF!,"Regular")+COUNTIFS(Roster!#REF!,"DDB1",Roster!#REF!,"Direct",Roster!G:G,"ABWI",Roster!#REF!,"Regular")</f>
        <v>#REF!</v>
      </c>
      <c r="AB18" s="6" t="e">
        <f>SUM(Y18:AA18,)+SUM(U18:W18)</f>
        <v>#REF!</v>
      </c>
      <c r="AC18" s="6" t="e">
        <f>(AB18-V18)-U18</f>
        <v>#REF!</v>
      </c>
      <c r="AD18" s="11" t="e">
        <f>Y18/AC18</f>
        <v>#REF!</v>
      </c>
      <c r="AE18" s="79"/>
      <c r="AL18" s="2">
        <f>1443+83</f>
        <v>1526</v>
      </c>
    </row>
    <row r="19" spans="1:43" s="5" customFormat="1" x14ac:dyDescent="0.3">
      <c r="A19" s="71" t="s">
        <v>50</v>
      </c>
      <c r="B19" s="71"/>
      <c r="C19" s="18" t="e">
        <f>SUM(C16:C18)</f>
        <v>#REF!</v>
      </c>
      <c r="D19" s="18" t="e">
        <f t="shared" ref="D19:J19" si="10">SUM(D16:D18)</f>
        <v>#REF!</v>
      </c>
      <c r="E19" s="18" t="e">
        <f>SUM(E16:E18)</f>
        <v>#REF!</v>
      </c>
      <c r="F19" s="18" t="e">
        <f>SUM(F16:F18)</f>
        <v>#REF!</v>
      </c>
      <c r="G19" s="19" t="e">
        <f t="shared" si="10"/>
        <v>#REF!</v>
      </c>
      <c r="H19" s="18" t="e">
        <f t="shared" si="10"/>
        <v>#REF!</v>
      </c>
      <c r="I19" s="18" t="e">
        <f t="shared" si="10"/>
        <v>#REF!</v>
      </c>
      <c r="J19" s="18" t="e">
        <f t="shared" si="10"/>
        <v>#REF!</v>
      </c>
      <c r="K19" s="18" t="e">
        <f>SUM(K16:K18)</f>
        <v>#REF!</v>
      </c>
      <c r="L19" s="54">
        <v>0.90348360655737703</v>
      </c>
      <c r="M19" s="48" t="e">
        <f>(G19-F19)/(K19)</f>
        <v>#REF!</v>
      </c>
      <c r="N19" s="48" t="e">
        <f t="shared" si="5"/>
        <v>#REF!</v>
      </c>
      <c r="O19" s="65" t="e">
        <f>L19*K19</f>
        <v>#REF!</v>
      </c>
      <c r="P19" s="65" t="e">
        <f>G19-F19</f>
        <v>#REF!</v>
      </c>
      <c r="Q19" s="65" t="e">
        <f>P19-O19</f>
        <v>#REF!</v>
      </c>
      <c r="R19" s="79"/>
      <c r="S19" s="89"/>
      <c r="T19" s="6" t="s">
        <v>14</v>
      </c>
      <c r="U19" s="6" t="e">
        <f>COUNTIFS(Roster!#REF!,"AUH3",Roster!#REF!,"Direct",Roster!G:G,"0",Roster!#REF!,"Temporary")+COUNTIFS(Roster!#REF!,"DDB1",Roster!#REF!,"Direct",Roster!G:G,"0",Roster!#REF!,"Temporary")</f>
        <v>#REF!</v>
      </c>
      <c r="V19" s="6" t="e">
        <f>COUNTIFS(Roster!#REF!,"AUH3",Roster!#REF!,"Direct",Roster!G:G,"OFF",Roster!#REF!,"Temporary")+COUNTIFS(Roster!#REF!,"DDB1",Roster!#REF!,"Direct",Roster!G:G,"OFF",Roster!#REF!,"Temporary")</f>
        <v>#REF!</v>
      </c>
      <c r="W19" s="6" t="e">
        <f>COUNTIFS(Roster!#REF!,"AUH3",Roster!#REF!,"Direct",Roster!G:G,"PL",Roster!#REF!,"Temporary")+COUNTIFS(Roster!#REF!,"DDB1",Roster!#REF!,"Direct",Roster!G:G,"PL",Roster!#REF!,"Temporary")</f>
        <v>#REF!</v>
      </c>
      <c r="X19" s="6" t="e">
        <f>COUNTIFS(#REF!,"AUH3",#REF!,"Temporary",Table1[[#All],[OFF1]],"OT",Table1[[#All],[Department]],Dashboard!S18)+COUNTIFS(#REF!,"AUH3",#REF!,"Temporary",Table1[[#All],[OFF2]],"OT",Table1[[#All],[Department]],Dashboard!S18)</f>
        <v>#REF!</v>
      </c>
      <c r="Y19" s="6" t="e">
        <f>COUNTIFS(Roster!#REF!,"AUH3",Roster!#REF!,"Direct",Roster!G:G,"P",Roster!#REF!,"Temporary")+COUNTIFS(Roster!#REF!,"DDB1",Roster!#REF!,"Direct",Roster!G:G,"P",Roster!#REF!,"Temporary")</f>
        <v>#REF!</v>
      </c>
      <c r="Z19" s="6" t="e">
        <f>COUNTIFS(Roster!#REF!,"AUH3",Roster!#REF!,"Direct",Roster!G:G,"SL",Roster!#REF!,"Temporary")+COUNTIFS(Roster!#REF!,"DDB1",Roster!#REF!,"Direct",Roster!G:G,"SL",Roster!#REF!,"Temporary")</f>
        <v>#REF!</v>
      </c>
      <c r="AA19" s="6" t="e">
        <f>COUNTIFS(Roster!#REF!,"AUH3",Roster!#REF!,"Direct",Roster!G:G,"AB",Roster!#REF!,"Temporary")+COUNTIFS(Roster!#REF!,"DDB1",Roster!#REF!,"Direct",Roster!G:G,"AB",Roster!#REF!,"Temporary")+COUNTIFS(Roster!#REF!,"AUH3",Roster!#REF!,"Direct",Roster!G:G,"ABWI",Roster!#REF!,"Temporary")+COUNTIFS(Roster!#REF!,"DDB1",Roster!#REF!,"Direct",Roster!G:G,"ABWI",Roster!#REF!,"Temporary")</f>
        <v>#REF!</v>
      </c>
      <c r="AB19" s="6" t="e">
        <f>SUM(Y19:AA19,)+SUM(U19:W19)</f>
        <v>#REF!</v>
      </c>
      <c r="AC19" s="6" t="e">
        <f>(AB19-V19)-U19</f>
        <v>#REF!</v>
      </c>
      <c r="AD19" s="11" t="e">
        <f>Y19/AC19</f>
        <v>#REF!</v>
      </c>
      <c r="AE19" s="79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x14ac:dyDescent="0.3">
      <c r="A20" s="73" t="s">
        <v>20</v>
      </c>
      <c r="B20" s="6" t="s">
        <v>15</v>
      </c>
      <c r="C20" s="6" t="e">
        <f>COUNTIFS(Roster!G:G,"0",Roster!F:F,"Outbound",Roster!#REF!,"Day Shift",Roster!#REF!,"Direct",Roster!#REF!,"AUH1")</f>
        <v>#REF!</v>
      </c>
      <c r="D20" s="6" t="e">
        <f>COUNTIFS(Roster!G:G,"OFF",Roster!F:F,"Outbound",Roster!#REF!,"Day Shift",Roster!#REF!,"Direct",Roster!#REF!,"AUH1")</f>
        <v>#REF!</v>
      </c>
      <c r="E20" s="6" t="e">
        <f>COUNTIFS(Roster!G:G,"PL",Roster!F:F,"Outbound",Roster!#REF!,"Day Shift",Roster!#REF!,"Direct",Roster!#REF!,"AUH1")</f>
        <v>#REF!</v>
      </c>
      <c r="F20" s="6" t="e">
        <f>COUNTIFS(#REF!,"AUH1",#REF!,"Day Shift",Table1[[#All],[OFF1]],"OT",Table1[[#All],[Department]],Dashboard!A20)+COUNTIFS(#REF!,"AUH1",#REF!,"Day Shift",Table1[[#All],[OFF2]],"OT",Table1[[#All],[Department]],Dashboard!A20)</f>
        <v>#REF!</v>
      </c>
      <c r="G20" s="6" t="e">
        <f>COUNTIFS(Roster!G:G,"P",Roster!F:F,"Outbound",Roster!#REF!,"Day Shift",Roster!#REF!,"Direct",Roster!#REF!,"AUH1")</f>
        <v>#REF!</v>
      </c>
      <c r="H20" s="6" t="e">
        <f>COUNTIFS(Roster!G:G,"SL",Roster!F:F,"Outbound",Roster!#REF!,"Day Shift",Roster!#REF!,"Direct",Roster!#REF!,"AUH1")</f>
        <v>#REF!</v>
      </c>
      <c r="I20" s="6" t="e">
        <f>COUNTIFS(Roster!G:G,"AB",Roster!F:F,"Outbound",Roster!#REF!,"Day Shift",Roster!#REF!,"Direct",Roster!#REF!,"AUH1")+COUNTIFS(Roster!G:G,"ABWI",Roster!F:F,"Outbound",Roster!#REF!,"Day Shift",Roster!#REF!,"Direct",Roster!#REF!,"AUH1")</f>
        <v>#REF!</v>
      </c>
      <c r="J20" s="6" t="e">
        <f>SUM(G20:I20,)+SUM(C20:E20)</f>
        <v>#REF!</v>
      </c>
      <c r="K20" s="6" t="e">
        <f>(J20-D20)-C20-F20</f>
        <v>#REF!</v>
      </c>
      <c r="L20" s="53">
        <v>0.8744170984455959</v>
      </c>
      <c r="M20" s="7" t="e">
        <f t="shared" si="3"/>
        <v>#REF!</v>
      </c>
      <c r="N20" s="7" t="e">
        <f t="shared" si="5"/>
        <v>#REF!</v>
      </c>
      <c r="O20" s="69"/>
      <c r="P20" s="69"/>
      <c r="Q20" s="7"/>
      <c r="R20" s="79"/>
      <c r="S20" s="105" t="s">
        <v>42</v>
      </c>
      <c r="T20" s="71"/>
      <c r="U20" s="18" t="e">
        <f t="shared" ref="U20:AA20" si="11">SUM(U17:U19)</f>
        <v>#REF!</v>
      </c>
      <c r="V20" s="18" t="e">
        <f t="shared" si="11"/>
        <v>#REF!</v>
      </c>
      <c r="W20" s="18" t="e">
        <f t="shared" si="11"/>
        <v>#REF!</v>
      </c>
      <c r="X20" s="18" t="e">
        <f t="shared" si="11"/>
        <v>#REF!</v>
      </c>
      <c r="Y20" s="19" t="e">
        <f t="shared" si="11"/>
        <v>#REF!</v>
      </c>
      <c r="Z20" s="18" t="e">
        <f t="shared" si="11"/>
        <v>#REF!</v>
      </c>
      <c r="AA20" s="18" t="e">
        <f t="shared" si="11"/>
        <v>#REF!</v>
      </c>
      <c r="AB20" s="18" t="e">
        <f>SUM(AB17:AB19)</f>
        <v>#REF!</v>
      </c>
      <c r="AC20" s="18" t="e">
        <f>SUM(AC18:AC19)</f>
        <v>#REF!</v>
      </c>
      <c r="AD20" s="20"/>
      <c r="AE20" s="79"/>
    </row>
    <row r="21" spans="1:43" hidden="1" x14ac:dyDescent="0.3">
      <c r="A21" s="82"/>
      <c r="B21" s="62" t="s">
        <v>21</v>
      </c>
      <c r="C21" s="6" t="e">
        <f>COUNTIFS(Roster!G:G,"0",Roster!F:F,"Outbound",Roster!#REF!,"Mid Shift",Roster!#REF!,"Direct",Roster!#REF!,"AUH1")</f>
        <v>#REF!</v>
      </c>
      <c r="D21" s="6" t="e">
        <f>COUNTIFS(Roster!G:G,"OFF",Roster!F:F,"Outbound",Roster!#REF!,"Mid Shift",Roster!#REF!,"Direct",Roster!#REF!,"AUH1")</f>
        <v>#REF!</v>
      </c>
      <c r="E21" s="6" t="e">
        <f>COUNTIFS(Roster!G:G,"PL",Roster!F:F,"Outbound",Roster!#REF!,"Mid Shift",Roster!#REF!,"Direct",Roster!#REF!,"AUH1")</f>
        <v>#REF!</v>
      </c>
      <c r="F21" s="6" t="e">
        <f>COUNTIFS(#REF!,"AUH1",#REF!,"Mid Shift",Table1[[#All],[OFF1]],"OT",Table1[[#All],[Department]],Dashboard!A20)+COUNTIFS(#REF!,"AUH1",#REF!,"Mid Shift",Table1[[#All],[OFF2]],"OT",Table1[[#All],[Department]],Dashboard!A20)</f>
        <v>#REF!</v>
      </c>
      <c r="G21" s="6" t="e">
        <f>COUNTIFS(Roster!G:G,"P",Roster!F:F,"Outbound",Roster!#REF!,"Mid Shift",Roster!#REF!,"Direct",Roster!#REF!,"AUH1")</f>
        <v>#REF!</v>
      </c>
      <c r="H21" s="6" t="e">
        <f>COUNTIFS(Roster!G:G,"SL",Roster!F:F,"Outbound",Roster!#REF!,"Mid Shift",Roster!#REF!,"Direct",Roster!#REF!,"AUH1")</f>
        <v>#REF!</v>
      </c>
      <c r="I21" s="6" t="e">
        <f>COUNTIFS(Roster!G:G,"AB",Roster!F:F,"Outbound",Roster!#REF!,"Mid Shift",Roster!#REF!,"Direct",Roster!#REF!,"AUH1")+COUNTIFS(Roster!G:G,"ABWI",Roster!F:F,"Outbound",Roster!#REF!,"Mid Shift",Roster!#REF!,"Direct",Roster!#REF!,"AUH1")</f>
        <v>#REF!</v>
      </c>
      <c r="J21" s="6" t="e">
        <f t="shared" si="4"/>
        <v>#REF!</v>
      </c>
      <c r="K21" s="6" t="e">
        <f>(J21-D21)-C21-F21</f>
        <v>#REF!</v>
      </c>
      <c r="L21" s="53"/>
      <c r="M21" s="7" t="e">
        <f t="shared" si="3"/>
        <v>#REF!</v>
      </c>
      <c r="N21" s="7" t="e">
        <f t="shared" si="5"/>
        <v>#REF!</v>
      </c>
      <c r="O21" s="69"/>
      <c r="P21" s="69"/>
      <c r="Q21" s="7"/>
      <c r="R21" s="79"/>
      <c r="S21" s="89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5"/>
      <c r="AE21" s="79"/>
    </row>
    <row r="22" spans="1:43" x14ac:dyDescent="0.3">
      <c r="A22" s="88"/>
      <c r="B22" s="45" t="s">
        <v>22</v>
      </c>
      <c r="C22" s="45" t="e">
        <f>COUNTIFS(Roster!G:G,"0",Roster!F:F,"Outbound",Roster!#REF!,"Night Shift",Roster!#REF!,"Direct",Roster!#REF!,"AUH1")</f>
        <v>#REF!</v>
      </c>
      <c r="D22" s="45" t="e">
        <f>COUNTIFS(Roster!G:G,"OFF",Roster!F:F,"Outbound",Roster!#REF!,"Night Shift",Roster!#REF!,"Direct",Roster!#REF!,"AUH1")</f>
        <v>#REF!</v>
      </c>
      <c r="E22" s="45" t="e">
        <f>COUNTIFS(Roster!G:G,"PL",Roster!F:F,"Outbound",Roster!#REF!,"Night Shift",Roster!#REF!,"Direct",Roster!#REF!,"AUH1")</f>
        <v>#REF!</v>
      </c>
      <c r="F22" s="45" t="e">
        <f>COUNTIFS(#REF!,"AUH1",#REF!,"Night Shift",Table1[[#All],[OFF1]],"OT",Table1[[#All],[Department]],Dashboard!A20)+COUNTIFS(#REF!,"AUH1",#REF!,"Night Shift",Table1[[#All],[OFF2]],"OT",Table1[[#All],[Department]],Dashboard!A20)</f>
        <v>#REF!</v>
      </c>
      <c r="G22" s="45" t="e">
        <f>COUNTIFS(Roster!G:G,"P",Roster!F:F,"Outbound",Roster!#REF!,"Night Shift",Roster!#REF!,"Direct",Roster!#REF!,"AUH1")</f>
        <v>#REF!</v>
      </c>
      <c r="H22" s="45" t="e">
        <f>COUNTIFS(Roster!G:G,"SL",Roster!F:F,"Outbound",Roster!#REF!,"Night Shift",Roster!#REF!,"Direct",Roster!#REF!,"AUH1")</f>
        <v>#REF!</v>
      </c>
      <c r="I22" s="45" t="e">
        <f>COUNTIFS(Roster!G:G,"AB",Roster!F:F,"Outbound",Roster!#REF!,"Night Shift",Roster!#REF!,"Direct",Roster!#REF!,"AUH1")+COUNTIFS(Roster!G:G,"ABWI",Roster!F:F,"Outbound",Roster!#REF!,"Night Shift",Roster!#REF!,"Direct",Roster!#REF!,"AUH1")</f>
        <v>#REF!</v>
      </c>
      <c r="J22" s="45" t="e">
        <f t="shared" si="4"/>
        <v>#REF!</v>
      </c>
      <c r="K22" s="45" t="e">
        <f>(J22-D22)-C22-F22</f>
        <v>#REF!</v>
      </c>
      <c r="L22" s="53">
        <v>0.8614169675090253</v>
      </c>
      <c r="M22" s="56" t="e">
        <f t="shared" si="3"/>
        <v>#REF!</v>
      </c>
      <c r="N22" s="56" t="e">
        <f t="shared" si="5"/>
        <v>#REF!</v>
      </c>
      <c r="O22" s="70"/>
      <c r="P22" s="70"/>
      <c r="Q22" s="7"/>
      <c r="R22" s="79"/>
      <c r="S22" s="28" t="s">
        <v>9</v>
      </c>
      <c r="T22" s="29" t="s">
        <v>30</v>
      </c>
      <c r="U22" s="29" t="s">
        <v>31</v>
      </c>
      <c r="V22" s="29" t="s">
        <v>32</v>
      </c>
      <c r="W22" s="29" t="s">
        <v>4</v>
      </c>
      <c r="X22" s="29" t="s">
        <v>19</v>
      </c>
      <c r="Y22" s="29" t="s">
        <v>33</v>
      </c>
      <c r="Z22" s="29" t="s">
        <v>1</v>
      </c>
      <c r="AA22" s="29" t="s">
        <v>34</v>
      </c>
      <c r="AB22" s="29" t="s">
        <v>35</v>
      </c>
      <c r="AC22" s="29" t="s">
        <v>36</v>
      </c>
      <c r="AD22" s="83"/>
      <c r="AE22" s="79"/>
    </row>
    <row r="23" spans="1:43" s="5" customFormat="1" x14ac:dyDescent="0.3">
      <c r="A23" s="71" t="s">
        <v>41</v>
      </c>
      <c r="B23" s="71"/>
      <c r="C23" s="18" t="e">
        <f t="shared" ref="C23:J23" si="12">SUM(C20:C22)</f>
        <v>#REF!</v>
      </c>
      <c r="D23" s="18" t="e">
        <f t="shared" si="12"/>
        <v>#REF!</v>
      </c>
      <c r="E23" s="18" t="e">
        <f t="shared" si="12"/>
        <v>#REF!</v>
      </c>
      <c r="F23" s="18" t="e">
        <f>SUM(F20:F22)</f>
        <v>#REF!</v>
      </c>
      <c r="G23" s="19" t="e">
        <f t="shared" si="12"/>
        <v>#REF!</v>
      </c>
      <c r="H23" s="18" t="e">
        <f t="shared" si="12"/>
        <v>#REF!</v>
      </c>
      <c r="I23" s="18" t="e">
        <f t="shared" si="12"/>
        <v>#REF!</v>
      </c>
      <c r="J23" s="18" t="e">
        <f t="shared" si="12"/>
        <v>#REF!</v>
      </c>
      <c r="K23" s="18" t="e">
        <f>SUM(K20:K22)</f>
        <v>#REF!</v>
      </c>
      <c r="L23" s="54">
        <v>0.86675531914893611</v>
      </c>
      <c r="M23" s="48">
        <v>0.88060344827586201</v>
      </c>
      <c r="N23" s="48" t="e">
        <f t="shared" si="5"/>
        <v>#REF!</v>
      </c>
      <c r="O23" s="65" t="e">
        <f>L23*K23</f>
        <v>#REF!</v>
      </c>
      <c r="P23" s="65" t="e">
        <f>G23-F23</f>
        <v>#REF!</v>
      </c>
      <c r="Q23" s="65" t="e">
        <f>P23-O23</f>
        <v>#REF!</v>
      </c>
      <c r="R23" s="79"/>
      <c r="S23" s="8" t="s">
        <v>17</v>
      </c>
      <c r="T23" s="6" t="e">
        <f>COUNTIFS(Roster!#REF!,"AUH3",Roster!#REF!,"Regular")+COUNTIFS(Roster!#REF!,"DDB1",Roster!#REF!,"Regular",Roster!#REF!,"Direct")</f>
        <v>#REF!</v>
      </c>
      <c r="U23" s="6" t="e">
        <f>COUNTIFS(Roster!#REF!,"AUH3",Roster!#REF!,"Regular",Roster!G:G,"OFF",Roster!#REF!,"Direct")+COUNTIFS(Roster!#REF!,"DDB1",Roster!#REF!,"Regular",Roster!G:G,"OFF",Roster!#REF!,"Direct")</f>
        <v>#REF!</v>
      </c>
      <c r="V23" s="6" t="e">
        <f>SUMIFS($AC$18:$AC$19,$T$18:$T$19,"Regular")</f>
        <v>#REF!</v>
      </c>
      <c r="W23" s="6" t="e">
        <f>COUNTIFS(Roster!#REF!,"AUH3",Roster!#REF!,"Regular",Roster!G:G,"PL",Roster!#REF!,"Direct")+COUNTIFS(Roster!#REF!,"DDB1",Roster!#REF!,"Regular",Roster!G:G,"PL",Roster!#REF!,"Direct")</f>
        <v>#REF!</v>
      </c>
      <c r="X23" s="6" t="e">
        <f>COUNTIFS(#REF!,"AUH3",#REF!,"Regular",Table1[[#All],[OFF1]],"OT",Table1[[#All],[Department]],Dashboard!S23)+COUNTIFS(#REF!,"AUH3",#REF!,"Regular",Table1[[#All],[OFF2]],"OT",Table1[[#All],[Department]],Dashboard!S23)</f>
        <v>#REF!</v>
      </c>
      <c r="Y23" s="6" t="e">
        <f>COUNTIFS(Roster!#REF!,"AUH3",Roster!#REF!,"Regular",Roster!G:G,"AB",Roster!#REF!,"Direct")+COUNTIFS(Roster!#REF!,"AUH3",Roster!#REF!,"Regular",Roster!G:G,"SL",Roster!#REF!,"Direct")+COUNTIFS(Roster!#REF!,"AUH3",Roster!#REF!,"Regular",Roster!G:G,"ABWI",Roster!#REF!,"Direct")+COUNTIFS(Roster!#REF!,"DDB1",Roster!#REF!,"Regular",Roster!G:G,"ABWI")</f>
        <v>#REF!</v>
      </c>
      <c r="Z23" s="6" t="e">
        <f>V23-W23-Y23</f>
        <v>#REF!</v>
      </c>
      <c r="AA23" s="7" t="e">
        <f>Z23/V23</f>
        <v>#REF!</v>
      </c>
      <c r="AB23" s="16">
        <v>0.92384615384615376</v>
      </c>
      <c r="AC23" s="7" t="e">
        <f>AA23/AB23</f>
        <v>#REF!</v>
      </c>
      <c r="AD23" s="84"/>
      <c r="AE23" s="79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s="5" customFormat="1" ht="12.5" thickBot="1" x14ac:dyDescent="0.35">
      <c r="A24" s="73" t="s">
        <v>47</v>
      </c>
      <c r="B24" s="6" t="s">
        <v>15</v>
      </c>
      <c r="C24" s="6" t="e">
        <f>COUNTIFS(Roster!G:G,"0",Roster!F:F,"CRET",Roster!#REF!,"Day Shift",Roster!#REF!,"Direct",Roster!#REF!,"AUH1")</f>
        <v>#REF!</v>
      </c>
      <c r="D24" s="6" t="e">
        <f>COUNTIFS(Roster!G:G,"OFF",Roster!F:F,"CRET",Roster!#REF!,"Day Shift",Roster!#REF!,"Direct",Roster!#REF!,"AUH1")</f>
        <v>#REF!</v>
      </c>
      <c r="E24" s="6" t="e">
        <f>COUNTIFS(Roster!G:G,"PL",Roster!F:F,"CRET",Roster!#REF!,"Day Shift",Roster!#REF!,"Direct",Roster!#REF!,"AUH1")</f>
        <v>#REF!</v>
      </c>
      <c r="F24" s="6" t="e">
        <f>COUNTIFS(#REF!,"AUH1",#REF!,"Day Shift",Table1[[#All],[OFF1]],"OT",Table1[[#All],[Department]],Dashboard!A24)+COUNTIFS(#REF!,"AUH1",#REF!,"Day Shift",Table1[[#All],[OFF2]],"OT",Table1[[#All],[Department]],Dashboard!A24)</f>
        <v>#REF!</v>
      </c>
      <c r="G24" s="6" t="e">
        <f>COUNTIFS(Roster!G:G,"P",Roster!F:F,"CRET",Roster!#REF!,"Day Shift",Roster!#REF!,"Direct",Roster!#REF!,"AUH1")</f>
        <v>#REF!</v>
      </c>
      <c r="H24" s="6" t="e">
        <f>COUNTIFS(Roster!G:G,"SL",Roster!F:F,"CRET",Roster!#REF!,"Day Shift",Roster!#REF!,"Direct",Roster!#REF!,"AUH1")</f>
        <v>#REF!</v>
      </c>
      <c r="I24" s="6" t="e">
        <f>COUNTIFS(Roster!G:G,"AB",Roster!F:F,"CRET",Roster!#REF!,"Day Shift",Roster!#REF!,"Direct",Roster!#REF!,"AUH1")+COUNTIFS(Roster!G:G,"ABWI",Roster!F:F,"CRET",Roster!#REF!,"Day Shift",Roster!#REF!,"Direct",Roster!#REF!,"AUH1")</f>
        <v>#REF!</v>
      </c>
      <c r="J24" s="6" t="e">
        <f t="shared" si="4"/>
        <v>#REF!</v>
      </c>
      <c r="K24" s="6" t="e">
        <f>(J24-D24)-C24-F24</f>
        <v>#REF!</v>
      </c>
      <c r="L24" s="53">
        <v>0.89107142857142863</v>
      </c>
      <c r="M24" s="7" t="e">
        <f t="shared" si="3"/>
        <v>#REF!</v>
      </c>
      <c r="N24" s="7" t="e">
        <f t="shared" si="5"/>
        <v>#REF!</v>
      </c>
      <c r="O24" s="69"/>
      <c r="P24" s="69"/>
      <c r="Q24" s="7"/>
      <c r="R24" s="79"/>
      <c r="S24" s="12" t="s">
        <v>14</v>
      </c>
      <c r="T24" s="13" t="e">
        <f>COUNTIFS(Roster!#REF!,"AUH3",Roster!#REF!,"Temporary")+COUNTIFS(Roster!#REF!,"DDB1",Roster!#REF!,"Temporary",Roster!#REF!,"Direct")</f>
        <v>#REF!</v>
      </c>
      <c r="U24" s="13" t="e">
        <f>COUNTIFS(Roster!#REF!,"AUH3",Roster!#REF!,"Temporary",Roster!G:G,"OFF",Roster!#REF!,"Direct")+COUNTIFS(Roster!#REF!,"DDB1",Roster!#REF!,"Temporary",Roster!G:G,"OFF",Roster!#REF!,"Direct")</f>
        <v>#REF!</v>
      </c>
      <c r="V24" s="13" t="e">
        <f>SUMIFS($AC$18:$AC$19,$T$18:$T$19,"Temporary")</f>
        <v>#REF!</v>
      </c>
      <c r="W24" s="13" t="e">
        <f>COUNTIFS(Roster!#REF!,"AUH3",Roster!#REF!,"Temporary",Roster!G:G,"PL",Roster!#REF!,"Direct")+COUNTIFS(Roster!#REF!,"DDB1",Roster!#REF!,"Temporary",Roster!G:G,"PL",Roster!#REF!,"Direct")</f>
        <v>#REF!</v>
      </c>
      <c r="X24" s="13" t="e">
        <f>COUNTIFS(#REF!,"AUH3",#REF!,"Temporary",Table1[[#All],[OFF1]],"OT",Table1[[#All],[Department]],Dashboard!S23)+COUNTIFS(#REF!,"AUH3",#REF!,"Temporary",Table1[[#All],[OFF2]],"OT",Table1[[#All],[Department]],Dashboard!S23)</f>
        <v>#REF!</v>
      </c>
      <c r="Y24" s="13" t="e">
        <f>COUNTIFS(Roster!#REF!,"AUH3",Roster!#REF!,"Temporary",Roster!G:G,"AB")+COUNTIFS(Roster!#REF!,"AUH3",Roster!#REF!,"Temporary",Roster!G:G,"SL")+COUNTIFS(Roster!#REF!,"AUH3",Roster!#REF!,"Temporary",Roster!G:G,"ABWI")+COUNTIFS(Roster!#REF!,"DDB1",Roster!#REF!,"Temporary",Roster!G:G,"ABWI",Roster!#REF!,"Direct")</f>
        <v>#REF!</v>
      </c>
      <c r="Z24" s="13" t="e">
        <f>V24-W24-Y24</f>
        <v>#REF!</v>
      </c>
      <c r="AA24" s="7" t="e">
        <f>Z24/V24</f>
        <v>#REF!</v>
      </c>
      <c r="AB24" s="16">
        <v>0.90181818181818185</v>
      </c>
      <c r="AC24" s="7" t="e">
        <f>AA24/AB24</f>
        <v>#REF!</v>
      </c>
      <c r="AD24" s="85"/>
      <c r="AE24" s="79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s="5" customFormat="1" hidden="1" x14ac:dyDescent="0.3">
      <c r="A25" s="82"/>
      <c r="B25" s="62" t="s">
        <v>21</v>
      </c>
      <c r="C25" s="6" t="e">
        <f>COUNTIFS(Roster!G:G,"0",Roster!F:F,"CRET",Roster!#REF!,"Mid Shift",Roster!#REF!,"Direct",Roster!#REF!,"AUH1")</f>
        <v>#REF!</v>
      </c>
      <c r="D25" s="6" t="e">
        <f>COUNTIFS(Roster!G:G,"OFF",Roster!F:F,"CRET",Roster!#REF!,"Mid Shift",Roster!#REF!,"Direct",Roster!#REF!,"AUH1")</f>
        <v>#REF!</v>
      </c>
      <c r="E25" s="6" t="e">
        <f>COUNTIFS(Roster!G:G,"PL",Roster!F:F,"CRET",Roster!#REF!,"Mid Shift",Roster!#REF!,"Direct",Roster!#REF!,"AUH1")</f>
        <v>#REF!</v>
      </c>
      <c r="F25" s="6" t="e">
        <f>COUNTIFS(#REF!,"AUH1",#REF!,"Mid Shift",Table1[[#All],[OFF1]],"OT",Table1[[#All],[Department]],Dashboard!A24)+COUNTIFS(#REF!,"AUH1",#REF!,"Mid Shift",Table1[[#All],[OFF2]],"OT",Table1[[#All],[Department]],Dashboard!A24)</f>
        <v>#REF!</v>
      </c>
      <c r="G25" s="6" t="e">
        <f>COUNTIFS(Roster!G:G,"P",Roster!F:F,"CRET",Roster!#REF!,"Mid Shift",Roster!#REF!,"Direct",Roster!#REF!,"AUH1")</f>
        <v>#REF!</v>
      </c>
      <c r="H25" s="6" t="e">
        <f>COUNTIFS(Roster!G:G,"SL",Roster!F:F,"CRET",Roster!#REF!,"Mid Shift",Roster!#REF!,"Direct",Roster!#REF!,"AUH1")</f>
        <v>#REF!</v>
      </c>
      <c r="I25" s="6" t="e">
        <f>COUNTIFS(Roster!G:G,"AB",Roster!F:F,"CRET",Roster!#REF!,"Mid Shift",Roster!#REF!,"Direct",Roster!#REF!,"AUH1")+COUNTIFS(Roster!G:G,"ABWI",Roster!F:F,"CRET",Roster!#REF!,"Mid Shift",Roster!#REF!,"Direct",Roster!#REF!,"AUH1")</f>
        <v>#REF!</v>
      </c>
      <c r="J25" s="6" t="e">
        <f t="shared" si="4"/>
        <v>#REF!</v>
      </c>
      <c r="K25" s="6" t="e">
        <f>(J25-D25)-C25-F25</f>
        <v>#REF!</v>
      </c>
      <c r="L25" s="53"/>
      <c r="M25" s="7" t="e">
        <f t="shared" si="3"/>
        <v>#REF!</v>
      </c>
      <c r="N25" s="7" t="e">
        <f t="shared" si="5"/>
        <v>#REF!</v>
      </c>
      <c r="O25" s="69"/>
      <c r="P25" s="69"/>
      <c r="Q25" s="7"/>
      <c r="R25" s="79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79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s="5" customFormat="1" x14ac:dyDescent="0.3">
      <c r="A26" s="73"/>
      <c r="B26" s="6" t="s">
        <v>22</v>
      </c>
      <c r="C26" s="6" t="e">
        <f>COUNTIFS(Roster!G:G,"0",Roster!F:F,"CRET",Roster!#REF!,"Night Shift",Roster!#REF!,"Direct",Roster!#REF!,"AUH1")</f>
        <v>#REF!</v>
      </c>
      <c r="D26" s="6" t="e">
        <f>COUNTIFS(Roster!G:G,"OFF",Roster!F:F,"CRET",Roster!#REF!,"Night Shift",Roster!#REF!,"Direct",Roster!#REF!,"AUH1")</f>
        <v>#REF!</v>
      </c>
      <c r="E26" s="6" t="e">
        <f>COUNTIFS(Roster!G:G,"PL",Roster!F:F,"CRET",Roster!#REF!,"Night Shift",Roster!#REF!,"Direct",Roster!#REF!,"AUH1")</f>
        <v>#REF!</v>
      </c>
      <c r="F26" s="6" t="e">
        <f>COUNTIFS(#REF!,"AUH1",#REF!,"Night Shift",Table1[[#All],[OFF1]],"OT",Table1[[#All],[Department]],Dashboard!A24)+COUNTIFS(#REF!,"AUH1",#REF!,"Night Shift",Table1[[#All],[OFF2]],"OT",Table1[[#All],[Department]],Dashboard!A24)</f>
        <v>#REF!</v>
      </c>
      <c r="G26" s="6" t="e">
        <f>COUNTIFS(Roster!G:G,"P",Roster!F:F,"CRET",Roster!#REF!,"Night Shift",Roster!#REF!,"Direct",Roster!#REF!,"AUH1")</f>
        <v>#REF!</v>
      </c>
      <c r="H26" s="6" t="e">
        <f>COUNTIFS(Roster!G:G,"SL",Roster!F:F,"CRET",Roster!#REF!,"Night Shift",Roster!#REF!,"Direct",Roster!#REF!,"AUH1")</f>
        <v>#REF!</v>
      </c>
      <c r="I26" s="6" t="e">
        <f>COUNTIFS(Roster!G:G,"AB",Roster!F:F,"CRET",Roster!#REF!,"Night Shift",Roster!#REF!,"Direct",Roster!#REF!,"AUH1")+COUNTIFS(Roster!G:G,"ABWI",Roster!F:F,"CRET",Roster!#REF!,"Night Shift",Roster!#REF!,"Direct",Roster!#REF!,"AUH1")</f>
        <v>#REF!</v>
      </c>
      <c r="J26" s="6" t="e">
        <f t="shared" si="4"/>
        <v>#REF!</v>
      </c>
      <c r="K26" s="6" t="e">
        <f>(J26-D26)-C26-F26</f>
        <v>#REF!</v>
      </c>
      <c r="L26" s="53">
        <v>0.85905172413793107</v>
      </c>
      <c r="M26" s="7" t="e">
        <f t="shared" si="3"/>
        <v>#REF!</v>
      </c>
      <c r="N26" s="7" t="e">
        <f t="shared" si="5"/>
        <v>#REF!</v>
      </c>
      <c r="O26" s="69"/>
      <c r="P26" s="69"/>
      <c r="Q26" s="7"/>
      <c r="R26" s="79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79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s="5" customFormat="1" x14ac:dyDescent="0.3">
      <c r="A27" s="71" t="s">
        <v>49</v>
      </c>
      <c r="B27" s="71"/>
      <c r="C27" s="18" t="e">
        <f t="shared" ref="C27:J27" si="13">SUM(C24:C26)</f>
        <v>#REF!</v>
      </c>
      <c r="D27" s="18" t="e">
        <f t="shared" si="13"/>
        <v>#REF!</v>
      </c>
      <c r="E27" s="18" t="e">
        <f t="shared" si="13"/>
        <v>#REF!</v>
      </c>
      <c r="F27" s="18" t="e">
        <f>SUM(F24:F26)</f>
        <v>#REF!</v>
      </c>
      <c r="G27" s="19" t="e">
        <f t="shared" si="13"/>
        <v>#REF!</v>
      </c>
      <c r="H27" s="18" t="e">
        <f t="shared" si="13"/>
        <v>#REF!</v>
      </c>
      <c r="I27" s="18" t="e">
        <f t="shared" si="13"/>
        <v>#REF!</v>
      </c>
      <c r="J27" s="18" t="e">
        <f t="shared" si="13"/>
        <v>#REF!</v>
      </c>
      <c r="K27" s="18" t="e">
        <f>SUM(K24:K26)</f>
        <v>#REF!</v>
      </c>
      <c r="L27" s="54">
        <v>0.87916666666666665</v>
      </c>
      <c r="M27" s="48" t="e">
        <f t="shared" si="3"/>
        <v>#REF!</v>
      </c>
      <c r="N27" s="54" t="e">
        <f t="shared" si="5"/>
        <v>#REF!</v>
      </c>
      <c r="O27" s="65" t="e">
        <f>L27*K27</f>
        <v>#REF!</v>
      </c>
      <c r="P27" s="65" t="e">
        <f>G27-F27</f>
        <v>#REF!</v>
      </c>
      <c r="Q27" s="65" t="e">
        <f>P27-O27</f>
        <v>#REF!</v>
      </c>
      <c r="R27" s="79"/>
      <c r="S27" s="2"/>
      <c r="T27" s="2"/>
      <c r="U27" s="2"/>
      <c r="V27" s="2"/>
      <c r="W27" s="38"/>
      <c r="X27" s="2"/>
      <c r="Y27" s="2"/>
      <c r="Z27" s="38"/>
      <c r="AA27" s="2"/>
      <c r="AB27" s="2"/>
      <c r="AC27" s="2"/>
      <c r="AD27" s="2"/>
      <c r="AE27" s="79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3" x14ac:dyDescent="0.3">
      <c r="A28" s="72" t="s">
        <v>37</v>
      </c>
      <c r="B28" s="72"/>
      <c r="C28" s="42" t="e">
        <f t="shared" ref="C28:J28" si="14">C15+C19+C23+C27</f>
        <v>#REF!</v>
      </c>
      <c r="D28" s="42" t="e">
        <f t="shared" si="14"/>
        <v>#REF!</v>
      </c>
      <c r="E28" s="42" t="e">
        <f t="shared" si="14"/>
        <v>#REF!</v>
      </c>
      <c r="F28" s="42" t="e">
        <f t="shared" si="14"/>
        <v>#REF!</v>
      </c>
      <c r="G28" s="42" t="e">
        <f t="shared" si="14"/>
        <v>#REF!</v>
      </c>
      <c r="H28" s="42" t="e">
        <f t="shared" si="14"/>
        <v>#REF!</v>
      </c>
      <c r="I28" s="42" t="e">
        <f t="shared" si="14"/>
        <v>#REF!</v>
      </c>
      <c r="J28" s="42" t="e">
        <f t="shared" si="14"/>
        <v>#REF!</v>
      </c>
      <c r="K28" s="42" t="e">
        <f>K15+K19+K23+K27</f>
        <v>#REF!</v>
      </c>
      <c r="L28" s="31">
        <f>J9</f>
        <v>0.88054979253112031</v>
      </c>
      <c r="M28" s="55" t="e">
        <f t="shared" si="3"/>
        <v>#REF!</v>
      </c>
      <c r="N28" s="55" t="e">
        <f t="shared" si="5"/>
        <v>#REF!</v>
      </c>
      <c r="O28" s="65" t="e">
        <f>L28*K28</f>
        <v>#REF!</v>
      </c>
      <c r="P28" s="65" t="e">
        <f>G28-F28</f>
        <v>#REF!</v>
      </c>
      <c r="Q28" s="66" t="e">
        <f>P28-O28</f>
        <v>#REF!</v>
      </c>
      <c r="R28" s="79"/>
      <c r="AE28" s="79"/>
    </row>
    <row r="29" spans="1:43" x14ac:dyDescent="0.3">
      <c r="E29" s="38"/>
      <c r="G29" s="38"/>
    </row>
    <row r="30" spans="1:43" x14ac:dyDescent="0.3">
      <c r="E30" s="38"/>
      <c r="G30" s="38"/>
      <c r="H30" s="64"/>
      <c r="J30" s="46"/>
    </row>
    <row r="31" spans="1:43" x14ac:dyDescent="0.3">
      <c r="E31" s="38"/>
      <c r="G31" s="38"/>
    </row>
    <row r="32" spans="1:43" x14ac:dyDescent="0.3">
      <c r="E32" s="38"/>
      <c r="G32" s="38"/>
      <c r="J32" s="38"/>
    </row>
    <row r="34" spans="5:5" x14ac:dyDescent="0.3">
      <c r="E34" s="38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zoomScale="70" zoomScaleNormal="70" workbookViewId="0">
      <selection activeCell="J15" sqref="J15"/>
    </sheetView>
  </sheetViews>
  <sheetFormatPr defaultColWidth="13.54296875" defaultRowHeight="13" customHeight="1" x14ac:dyDescent="0.35"/>
  <cols>
    <col min="3" max="3" width="36.90625" bestFit="1" customWidth="1"/>
    <col min="4" max="4" width="8.90625" bestFit="1" customWidth="1"/>
    <col min="5" max="5" width="8.54296875" bestFit="1" customWidth="1"/>
    <col min="6" max="6" width="12.453125" customWidth="1"/>
    <col min="7" max="7" width="13.54296875" style="47"/>
  </cols>
  <sheetData>
    <row r="1" spans="1:7" ht="13" customHeight="1" x14ac:dyDescent="0.35">
      <c r="A1" s="61" t="s">
        <v>6</v>
      </c>
      <c r="B1" s="61" t="s">
        <v>7</v>
      </c>
      <c r="C1" s="61" t="s">
        <v>8</v>
      </c>
      <c r="D1" s="61" t="s">
        <v>10</v>
      </c>
      <c r="E1" s="61" t="s">
        <v>11</v>
      </c>
      <c r="F1" s="61" t="s">
        <v>12</v>
      </c>
      <c r="G1" s="61" t="s">
        <v>362</v>
      </c>
    </row>
    <row r="2" spans="1:7" ht="13" customHeight="1" x14ac:dyDescent="0.35">
      <c r="A2" s="39">
        <v>204869098</v>
      </c>
      <c r="B2" s="68" t="s">
        <v>61</v>
      </c>
      <c r="C2" s="6" t="s">
        <v>62</v>
      </c>
      <c r="D2" s="41" t="s">
        <v>63</v>
      </c>
      <c r="E2" s="41" t="s">
        <v>54</v>
      </c>
      <c r="F2" s="41" t="s">
        <v>47</v>
      </c>
      <c r="G2" s="67" t="s">
        <v>5</v>
      </c>
    </row>
    <row r="3" spans="1:7" ht="13" customHeight="1" x14ac:dyDescent="0.35">
      <c r="A3" s="39">
        <v>204299542</v>
      </c>
      <c r="B3" s="68" t="s">
        <v>344</v>
      </c>
      <c r="C3" s="6" t="s">
        <v>345</v>
      </c>
      <c r="D3" s="41" t="s">
        <v>59</v>
      </c>
      <c r="E3" s="41" t="s">
        <v>63</v>
      </c>
      <c r="F3" s="41" t="s">
        <v>47</v>
      </c>
      <c r="G3" s="67" t="s">
        <v>0</v>
      </c>
    </row>
    <row r="4" spans="1:7" ht="13" customHeight="1" x14ac:dyDescent="0.35">
      <c r="A4" s="39">
        <v>204299562</v>
      </c>
      <c r="B4" s="68" t="s">
        <v>346</v>
      </c>
      <c r="C4" s="6" t="s">
        <v>347</v>
      </c>
      <c r="D4" s="41" t="s">
        <v>60</v>
      </c>
      <c r="E4" s="41" t="s">
        <v>57</v>
      </c>
      <c r="F4" s="41" t="s">
        <v>47</v>
      </c>
      <c r="G4" s="67" t="s">
        <v>4</v>
      </c>
    </row>
    <row r="5" spans="1:7" ht="13" customHeight="1" x14ac:dyDescent="0.35">
      <c r="A5" s="39">
        <v>204299899</v>
      </c>
      <c r="B5" s="68" t="s">
        <v>64</v>
      </c>
      <c r="C5" s="6" t="s">
        <v>328</v>
      </c>
      <c r="D5" s="41" t="s">
        <v>54</v>
      </c>
      <c r="E5" s="41" t="s">
        <v>55</v>
      </c>
      <c r="F5" s="41" t="s">
        <v>47</v>
      </c>
      <c r="G5" s="67" t="s">
        <v>5</v>
      </c>
    </row>
    <row r="6" spans="1:7" ht="13" customHeight="1" x14ac:dyDescent="0.35">
      <c r="A6" s="39">
        <v>204299548</v>
      </c>
      <c r="B6" s="68" t="s">
        <v>348</v>
      </c>
      <c r="C6" s="6" t="s">
        <v>349</v>
      </c>
      <c r="D6" s="41" t="s">
        <v>54</v>
      </c>
      <c r="E6" s="41" t="s">
        <v>55</v>
      </c>
      <c r="F6" s="41" t="s">
        <v>47</v>
      </c>
      <c r="G6" s="67" t="s">
        <v>5</v>
      </c>
    </row>
    <row r="7" spans="1:7" ht="13" customHeight="1" x14ac:dyDescent="0.35">
      <c r="A7" s="39">
        <v>204299544</v>
      </c>
      <c r="B7" s="68" t="s">
        <v>65</v>
      </c>
      <c r="C7" s="6" t="s">
        <v>329</v>
      </c>
      <c r="D7" s="41" t="s">
        <v>58</v>
      </c>
      <c r="E7" s="41" t="s">
        <v>59</v>
      </c>
      <c r="F7" s="41" t="s">
        <v>47</v>
      </c>
      <c r="G7" s="67" t="s">
        <v>0</v>
      </c>
    </row>
    <row r="8" spans="1:7" ht="13" customHeight="1" x14ac:dyDescent="0.35">
      <c r="A8" s="39">
        <v>204095444</v>
      </c>
      <c r="B8" s="68" t="s">
        <v>307</v>
      </c>
      <c r="C8" s="6" t="s">
        <v>338</v>
      </c>
      <c r="D8" s="41" t="s">
        <v>59</v>
      </c>
      <c r="E8" s="41" t="s">
        <v>63</v>
      </c>
      <c r="F8" s="41" t="s">
        <v>47</v>
      </c>
      <c r="G8" s="67" t="s">
        <v>0</v>
      </c>
    </row>
    <row r="9" spans="1:7" ht="13" customHeight="1" x14ac:dyDescent="0.35">
      <c r="A9" s="39">
        <v>204299903</v>
      </c>
      <c r="B9" s="68" t="s">
        <v>361</v>
      </c>
      <c r="C9" s="6" t="s">
        <v>367</v>
      </c>
      <c r="D9" s="41" t="s">
        <v>60</v>
      </c>
      <c r="E9" s="41" t="s">
        <v>57</v>
      </c>
      <c r="F9" s="41" t="s">
        <v>47</v>
      </c>
      <c r="G9" s="67" t="s">
        <v>5</v>
      </c>
    </row>
    <row r="10" spans="1:7" ht="13" customHeight="1" x14ac:dyDescent="0.35">
      <c r="A10" s="39">
        <v>204299902</v>
      </c>
      <c r="B10" s="68" t="s">
        <v>350</v>
      </c>
      <c r="C10" s="6" t="s">
        <v>368</v>
      </c>
      <c r="D10" s="41" t="s">
        <v>58</v>
      </c>
      <c r="E10" s="41" t="s">
        <v>59</v>
      </c>
      <c r="F10" s="41" t="s">
        <v>47</v>
      </c>
      <c r="G10" s="67" t="s">
        <v>0</v>
      </c>
    </row>
    <row r="11" spans="1:7" ht="13" customHeight="1" x14ac:dyDescent="0.35">
      <c r="A11" s="39">
        <v>204319462</v>
      </c>
      <c r="B11" s="68" t="s">
        <v>66</v>
      </c>
      <c r="C11" s="6" t="s">
        <v>330</v>
      </c>
      <c r="D11" s="41" t="s">
        <v>60</v>
      </c>
      <c r="E11" s="41" t="s">
        <v>57</v>
      </c>
      <c r="F11" s="41" t="s">
        <v>47</v>
      </c>
      <c r="G11" s="67" t="s">
        <v>5</v>
      </c>
    </row>
    <row r="12" spans="1:7" ht="13" customHeight="1" x14ac:dyDescent="0.35">
      <c r="A12" s="39">
        <v>204299911</v>
      </c>
      <c r="B12" s="68" t="s">
        <v>363</v>
      </c>
      <c r="C12" s="6" t="s">
        <v>364</v>
      </c>
      <c r="D12" s="41" t="s">
        <v>63</v>
      </c>
      <c r="E12" s="41" t="s">
        <v>54</v>
      </c>
      <c r="F12" s="41" t="s">
        <v>47</v>
      </c>
      <c r="G12" s="67" t="s">
        <v>5</v>
      </c>
    </row>
    <row r="13" spans="1:7" ht="13" customHeight="1" x14ac:dyDescent="0.35">
      <c r="A13" s="39">
        <v>204299913</v>
      </c>
      <c r="B13" s="68" t="s">
        <v>351</v>
      </c>
      <c r="C13" s="6" t="s">
        <v>352</v>
      </c>
      <c r="D13" s="41" t="s">
        <v>59</v>
      </c>
      <c r="E13" s="41" t="s">
        <v>63</v>
      </c>
      <c r="F13" s="41" t="s">
        <v>47</v>
      </c>
      <c r="G13" s="67" t="s">
        <v>0</v>
      </c>
    </row>
    <row r="14" spans="1:7" ht="13" customHeight="1" x14ac:dyDescent="0.35">
      <c r="A14" s="39">
        <v>204246172</v>
      </c>
      <c r="B14" s="68" t="s">
        <v>326</v>
      </c>
      <c r="C14" s="6" t="s">
        <v>327</v>
      </c>
      <c r="D14" s="41" t="s">
        <v>59</v>
      </c>
      <c r="E14" s="41" t="s">
        <v>63</v>
      </c>
      <c r="F14" s="40" t="s">
        <v>47</v>
      </c>
      <c r="G14" s="67" t="s">
        <v>4</v>
      </c>
    </row>
    <row r="15" spans="1:7" ht="13" customHeight="1" x14ac:dyDescent="0.35">
      <c r="A15" s="39">
        <v>204319464</v>
      </c>
      <c r="B15" s="68" t="s">
        <v>67</v>
      </c>
      <c r="C15" s="6" t="s">
        <v>331</v>
      </c>
      <c r="D15" s="41" t="s">
        <v>57</v>
      </c>
      <c r="E15" s="41" t="s">
        <v>58</v>
      </c>
      <c r="F15" s="41" t="s">
        <v>47</v>
      </c>
      <c r="G15" s="67" t="s">
        <v>0</v>
      </c>
    </row>
    <row r="16" spans="1:7" ht="13" customHeight="1" x14ac:dyDescent="0.35">
      <c r="A16" s="39">
        <v>204373628</v>
      </c>
      <c r="B16" s="68" t="s">
        <v>68</v>
      </c>
      <c r="C16" s="6" t="s">
        <v>332</v>
      </c>
      <c r="D16" s="41" t="s">
        <v>55</v>
      </c>
      <c r="E16" s="41" t="s">
        <v>60</v>
      </c>
      <c r="F16" s="41" t="s">
        <v>47</v>
      </c>
      <c r="G16" s="67" t="s">
        <v>0</v>
      </c>
    </row>
    <row r="17" spans="1:7" ht="13" customHeight="1" x14ac:dyDescent="0.35">
      <c r="A17" s="39">
        <v>202199024</v>
      </c>
      <c r="B17" s="68" t="s">
        <v>69</v>
      </c>
      <c r="C17" s="6" t="s">
        <v>333</v>
      </c>
      <c r="D17" s="41" t="s">
        <v>54</v>
      </c>
      <c r="E17" s="41" t="s">
        <v>55</v>
      </c>
      <c r="F17" s="41" t="s">
        <v>47</v>
      </c>
      <c r="G17" s="67" t="s">
        <v>5</v>
      </c>
    </row>
    <row r="18" spans="1:7" ht="13" customHeight="1" x14ac:dyDescent="0.35">
      <c r="A18" s="39">
        <v>204883244</v>
      </c>
      <c r="B18" s="68" t="s">
        <v>132</v>
      </c>
      <c r="C18" s="6" t="s">
        <v>334</v>
      </c>
      <c r="D18" s="41" t="s">
        <v>59</v>
      </c>
      <c r="E18" s="41" t="s">
        <v>63</v>
      </c>
      <c r="F18" s="41" t="s">
        <v>47</v>
      </c>
      <c r="G18" s="67" t="s">
        <v>0</v>
      </c>
    </row>
    <row r="19" spans="1:7" ht="13" customHeight="1" x14ac:dyDescent="0.35">
      <c r="A19" s="39">
        <v>204869091</v>
      </c>
      <c r="B19" s="68" t="s">
        <v>70</v>
      </c>
      <c r="C19" s="6" t="s">
        <v>71</v>
      </c>
      <c r="D19" s="41" t="s">
        <v>57</v>
      </c>
      <c r="E19" s="41" t="s">
        <v>58</v>
      </c>
      <c r="F19" s="41" t="s">
        <v>47</v>
      </c>
      <c r="G19" s="67" t="s">
        <v>0</v>
      </c>
    </row>
    <row r="20" spans="1:7" ht="13" customHeight="1" x14ac:dyDescent="0.35">
      <c r="A20" s="39">
        <v>204319468</v>
      </c>
      <c r="B20" s="68" t="s">
        <v>73</v>
      </c>
      <c r="C20" s="6" t="s">
        <v>335</v>
      </c>
      <c r="D20" s="41" t="s">
        <v>60</v>
      </c>
      <c r="E20" s="41" t="s">
        <v>57</v>
      </c>
      <c r="F20" s="41" t="s">
        <v>47</v>
      </c>
      <c r="G20" s="67" t="s">
        <v>0</v>
      </c>
    </row>
    <row r="21" spans="1:7" ht="13" customHeight="1" x14ac:dyDescent="0.35">
      <c r="A21" s="39">
        <v>204868856</v>
      </c>
      <c r="B21" s="68" t="s">
        <v>74</v>
      </c>
      <c r="C21" s="6" t="s">
        <v>75</v>
      </c>
      <c r="D21" s="41" t="s">
        <v>59</v>
      </c>
      <c r="E21" s="41" t="s">
        <v>63</v>
      </c>
      <c r="F21" s="41" t="s">
        <v>47</v>
      </c>
      <c r="G21" s="67" t="s">
        <v>0</v>
      </c>
    </row>
    <row r="22" spans="1:7" ht="13" customHeight="1" x14ac:dyDescent="0.35">
      <c r="A22" s="39">
        <v>204299909</v>
      </c>
      <c r="B22" s="68" t="s">
        <v>353</v>
      </c>
      <c r="C22" s="6" t="s">
        <v>354</v>
      </c>
      <c r="D22" s="41" t="s">
        <v>54</v>
      </c>
      <c r="E22" s="41" t="s">
        <v>55</v>
      </c>
      <c r="F22" s="41" t="s">
        <v>47</v>
      </c>
      <c r="G22" s="67" t="s">
        <v>5</v>
      </c>
    </row>
    <row r="23" spans="1:7" ht="13" customHeight="1" x14ac:dyDescent="0.35">
      <c r="A23" s="39">
        <v>202238249</v>
      </c>
      <c r="B23" s="68" t="s">
        <v>76</v>
      </c>
      <c r="C23" s="6" t="s">
        <v>336</v>
      </c>
      <c r="D23" s="41" t="s">
        <v>55</v>
      </c>
      <c r="E23" s="41" t="s">
        <v>60</v>
      </c>
      <c r="F23" s="41" t="s">
        <v>47</v>
      </c>
      <c r="G23" s="67" t="s">
        <v>0</v>
      </c>
    </row>
    <row r="24" spans="1:7" ht="13" customHeight="1" x14ac:dyDescent="0.35">
      <c r="A24" s="39">
        <v>204329123</v>
      </c>
      <c r="B24" s="68" t="s">
        <v>355</v>
      </c>
      <c r="C24" s="6" t="s">
        <v>356</v>
      </c>
      <c r="D24" s="41" t="s">
        <v>54</v>
      </c>
      <c r="E24" s="41" t="s">
        <v>55</v>
      </c>
      <c r="F24" s="41" t="s">
        <v>47</v>
      </c>
      <c r="G24" s="67" t="s">
        <v>5</v>
      </c>
    </row>
    <row r="25" spans="1:7" ht="13" customHeight="1" x14ac:dyDescent="0.35">
      <c r="A25" s="39">
        <v>204299908</v>
      </c>
      <c r="B25" s="68" t="s">
        <v>77</v>
      </c>
      <c r="C25" s="6" t="s">
        <v>337</v>
      </c>
      <c r="D25" s="41" t="s">
        <v>54</v>
      </c>
      <c r="E25" s="41" t="s">
        <v>55</v>
      </c>
      <c r="F25" s="41" t="s">
        <v>47</v>
      </c>
      <c r="G25" s="67" t="s">
        <v>5</v>
      </c>
    </row>
    <row r="26" spans="1:7" ht="13" customHeight="1" x14ac:dyDescent="0.35">
      <c r="A26" s="39">
        <v>204319805</v>
      </c>
      <c r="B26" s="68" t="s">
        <v>357</v>
      </c>
      <c r="C26" s="6" t="s">
        <v>358</v>
      </c>
      <c r="D26" s="41" t="s">
        <v>54</v>
      </c>
      <c r="E26" s="41" t="s">
        <v>55</v>
      </c>
      <c r="F26" s="41" t="s">
        <v>47</v>
      </c>
      <c r="G26" s="67" t="s">
        <v>5</v>
      </c>
    </row>
    <row r="27" spans="1:7" ht="13" customHeight="1" x14ac:dyDescent="0.35">
      <c r="A27" s="39">
        <v>204246160</v>
      </c>
      <c r="B27" s="68" t="s">
        <v>78</v>
      </c>
      <c r="C27" s="6" t="s">
        <v>79</v>
      </c>
      <c r="D27" s="41" t="s">
        <v>57</v>
      </c>
      <c r="E27" s="41" t="s">
        <v>58</v>
      </c>
      <c r="F27" s="41" t="s">
        <v>16</v>
      </c>
      <c r="G27" s="67" t="s">
        <v>0</v>
      </c>
    </row>
    <row r="28" spans="1:7" ht="13" customHeight="1" x14ac:dyDescent="0.35">
      <c r="A28" s="39">
        <v>204095446</v>
      </c>
      <c r="B28" s="68" t="s">
        <v>310</v>
      </c>
      <c r="C28" s="6" t="s">
        <v>311</v>
      </c>
      <c r="D28" s="41" t="s">
        <v>58</v>
      </c>
      <c r="E28" s="41" t="s">
        <v>59</v>
      </c>
      <c r="F28" s="41" t="s">
        <v>16</v>
      </c>
      <c r="G28" s="67" t="s">
        <v>2</v>
      </c>
    </row>
    <row r="29" spans="1:7" ht="13" customHeight="1" x14ac:dyDescent="0.35">
      <c r="A29" s="39">
        <v>201228114</v>
      </c>
      <c r="B29" s="68" t="s">
        <v>80</v>
      </c>
      <c r="C29" s="6" t="s">
        <v>81</v>
      </c>
      <c r="D29" s="41" t="s">
        <v>55</v>
      </c>
      <c r="E29" s="41" t="s">
        <v>60</v>
      </c>
      <c r="F29" s="41" t="s">
        <v>16</v>
      </c>
      <c r="G29" s="67" t="s">
        <v>0</v>
      </c>
    </row>
    <row r="30" spans="1:7" ht="13" customHeight="1" x14ac:dyDescent="0.35">
      <c r="A30" s="39">
        <v>204883087</v>
      </c>
      <c r="B30" s="68" t="s">
        <v>82</v>
      </c>
      <c r="C30" s="6" t="s">
        <v>83</v>
      </c>
      <c r="D30" s="41" t="s">
        <v>63</v>
      </c>
      <c r="E30" s="41" t="s">
        <v>54</v>
      </c>
      <c r="F30" s="41" t="s">
        <v>16</v>
      </c>
      <c r="G30" s="67" t="s">
        <v>5</v>
      </c>
    </row>
    <row r="31" spans="1:7" ht="13" customHeight="1" x14ac:dyDescent="0.35">
      <c r="A31" s="39">
        <v>204319797</v>
      </c>
      <c r="B31" s="68" t="s">
        <v>84</v>
      </c>
      <c r="C31" s="6" t="s">
        <v>85</v>
      </c>
      <c r="D31" s="41" t="s">
        <v>57</v>
      </c>
      <c r="E31" s="41" t="s">
        <v>58</v>
      </c>
      <c r="F31" s="41" t="s">
        <v>18</v>
      </c>
      <c r="G31" s="67" t="s">
        <v>4</v>
      </c>
    </row>
    <row r="32" spans="1:7" ht="13" customHeight="1" x14ac:dyDescent="0.35">
      <c r="A32" s="39">
        <v>204868861</v>
      </c>
      <c r="B32" s="68" t="s">
        <v>86</v>
      </c>
      <c r="C32" s="6" t="s">
        <v>87</v>
      </c>
      <c r="D32" s="41" t="s">
        <v>54</v>
      </c>
      <c r="E32" s="41" t="s">
        <v>55</v>
      </c>
      <c r="F32" s="41" t="s">
        <v>18</v>
      </c>
      <c r="G32" s="67" t="s">
        <v>5</v>
      </c>
    </row>
    <row r="33" spans="1:7" ht="13" customHeight="1" x14ac:dyDescent="0.35">
      <c r="A33" s="39">
        <v>204869090</v>
      </c>
      <c r="B33" s="68" t="s">
        <v>88</v>
      </c>
      <c r="C33" s="6" t="s">
        <v>89</v>
      </c>
      <c r="D33" s="41" t="s">
        <v>63</v>
      </c>
      <c r="E33" s="41" t="s">
        <v>54</v>
      </c>
      <c r="F33" s="41" t="s">
        <v>18</v>
      </c>
      <c r="G33" s="67" t="s">
        <v>5</v>
      </c>
    </row>
    <row r="34" spans="1:7" ht="13" customHeight="1" x14ac:dyDescent="0.35">
      <c r="A34" s="39">
        <v>204883250</v>
      </c>
      <c r="B34" s="68" t="s">
        <v>90</v>
      </c>
      <c r="C34" s="6" t="s">
        <v>91</v>
      </c>
      <c r="D34" s="41" t="s">
        <v>55</v>
      </c>
      <c r="E34" s="41" t="s">
        <v>60</v>
      </c>
      <c r="F34" s="41" t="s">
        <v>18</v>
      </c>
      <c r="G34" s="67" t="s">
        <v>0</v>
      </c>
    </row>
    <row r="35" spans="1:7" ht="13" customHeight="1" x14ac:dyDescent="0.35">
      <c r="A35" s="39">
        <v>204891140</v>
      </c>
      <c r="B35" s="68" t="s">
        <v>92</v>
      </c>
      <c r="C35" s="6" t="s">
        <v>93</v>
      </c>
      <c r="D35" s="41" t="s">
        <v>54</v>
      </c>
      <c r="E35" s="41" t="s">
        <v>55</v>
      </c>
      <c r="F35" s="41" t="s">
        <v>18</v>
      </c>
      <c r="G35" s="67" t="s">
        <v>5</v>
      </c>
    </row>
    <row r="36" spans="1:7" ht="13" customHeight="1" x14ac:dyDescent="0.35">
      <c r="A36" s="39">
        <v>204246157</v>
      </c>
      <c r="B36" s="68" t="s">
        <v>94</v>
      </c>
      <c r="C36" s="6" t="s">
        <v>95</v>
      </c>
      <c r="D36" s="41" t="s">
        <v>57</v>
      </c>
      <c r="E36" s="41" t="s">
        <v>58</v>
      </c>
      <c r="F36" s="41" t="s">
        <v>18</v>
      </c>
      <c r="G36" s="67" t="s">
        <v>0</v>
      </c>
    </row>
    <row r="37" spans="1:7" ht="13" customHeight="1" x14ac:dyDescent="0.35">
      <c r="A37" s="39">
        <v>204868859</v>
      </c>
      <c r="B37" s="68" t="s">
        <v>96</v>
      </c>
      <c r="C37" s="6" t="s">
        <v>97</v>
      </c>
      <c r="D37" s="41" t="s">
        <v>57</v>
      </c>
      <c r="E37" s="41" t="s">
        <v>58</v>
      </c>
      <c r="F37" s="41" t="s">
        <v>18</v>
      </c>
      <c r="G37" s="67" t="s">
        <v>0</v>
      </c>
    </row>
    <row r="38" spans="1:7" ht="13" customHeight="1" x14ac:dyDescent="0.35">
      <c r="A38" s="39">
        <v>204246170</v>
      </c>
      <c r="B38" s="68" t="s">
        <v>98</v>
      </c>
      <c r="C38" s="6" t="s">
        <v>99</v>
      </c>
      <c r="D38" s="41" t="s">
        <v>58</v>
      </c>
      <c r="E38" s="41" t="s">
        <v>59</v>
      </c>
      <c r="F38" s="41" t="s">
        <v>18</v>
      </c>
      <c r="G38" s="67" t="s">
        <v>0</v>
      </c>
    </row>
    <row r="39" spans="1:7" ht="13" customHeight="1" x14ac:dyDescent="0.35">
      <c r="A39" s="39">
        <v>204246161</v>
      </c>
      <c r="B39" s="68" t="s">
        <v>100</v>
      </c>
      <c r="C39" s="6" t="s">
        <v>101</v>
      </c>
      <c r="D39" s="41" t="s">
        <v>55</v>
      </c>
      <c r="E39" s="41" t="s">
        <v>60</v>
      </c>
      <c r="F39" s="41" t="s">
        <v>18</v>
      </c>
      <c r="G39" s="67" t="s">
        <v>0</v>
      </c>
    </row>
    <row r="40" spans="1:7" ht="13" customHeight="1" x14ac:dyDescent="0.35">
      <c r="A40" s="39">
        <v>204868858</v>
      </c>
      <c r="B40" s="68" t="s">
        <v>102</v>
      </c>
      <c r="C40" s="6" t="s">
        <v>103</v>
      </c>
      <c r="D40" s="41" t="s">
        <v>57</v>
      </c>
      <c r="E40" s="41" t="s">
        <v>58</v>
      </c>
      <c r="F40" s="41" t="s">
        <v>18</v>
      </c>
      <c r="G40" s="67" t="s">
        <v>0</v>
      </c>
    </row>
    <row r="41" spans="1:7" ht="13" customHeight="1" x14ac:dyDescent="0.35">
      <c r="A41" s="39">
        <v>204246156</v>
      </c>
      <c r="B41" s="68" t="s">
        <v>104</v>
      </c>
      <c r="C41" s="6" t="s">
        <v>105</v>
      </c>
      <c r="D41" s="41" t="s">
        <v>55</v>
      </c>
      <c r="E41" s="41" t="s">
        <v>60</v>
      </c>
      <c r="F41" s="41" t="s">
        <v>18</v>
      </c>
      <c r="G41" s="67" t="s">
        <v>0</v>
      </c>
    </row>
    <row r="42" spans="1:7" ht="13" customHeight="1" x14ac:dyDescent="0.35">
      <c r="A42" s="39">
        <v>204246158</v>
      </c>
      <c r="B42" s="68" t="s">
        <v>106</v>
      </c>
      <c r="C42" s="6" t="s">
        <v>107</v>
      </c>
      <c r="D42" s="41" t="s">
        <v>57</v>
      </c>
      <c r="E42" s="41" t="s">
        <v>58</v>
      </c>
      <c r="F42" s="41" t="s">
        <v>18</v>
      </c>
      <c r="G42" s="67" t="s">
        <v>0</v>
      </c>
    </row>
    <row r="43" spans="1:7" ht="13" customHeight="1" x14ac:dyDescent="0.35">
      <c r="A43" s="39">
        <v>204406416</v>
      </c>
      <c r="B43" s="68" t="s">
        <v>108</v>
      </c>
      <c r="C43" s="6" t="s">
        <v>109</v>
      </c>
      <c r="D43" s="41" t="s">
        <v>55</v>
      </c>
      <c r="E43" s="41" t="s">
        <v>60</v>
      </c>
      <c r="F43" s="41" t="s">
        <v>18</v>
      </c>
      <c r="G43" s="67" t="s">
        <v>0</v>
      </c>
    </row>
    <row r="44" spans="1:7" ht="13" customHeight="1" x14ac:dyDescent="0.35">
      <c r="A44" s="39">
        <v>204299912</v>
      </c>
      <c r="B44" s="68" t="s">
        <v>110</v>
      </c>
      <c r="C44" s="6" t="s">
        <v>111</v>
      </c>
      <c r="D44" s="41" t="s">
        <v>57</v>
      </c>
      <c r="E44" s="41" t="s">
        <v>58</v>
      </c>
      <c r="F44" s="41" t="s">
        <v>18</v>
      </c>
      <c r="G44" s="67" t="s">
        <v>0</v>
      </c>
    </row>
    <row r="45" spans="1:7" ht="13" customHeight="1" x14ac:dyDescent="0.35">
      <c r="A45" s="39">
        <v>202218633</v>
      </c>
      <c r="B45" s="68" t="s">
        <v>112</v>
      </c>
      <c r="C45" s="6" t="s">
        <v>113</v>
      </c>
      <c r="D45" s="41" t="s">
        <v>58</v>
      </c>
      <c r="E45" s="41" t="s">
        <v>59</v>
      </c>
      <c r="F45" s="41" t="s">
        <v>18</v>
      </c>
      <c r="G45" s="67" t="s">
        <v>0</v>
      </c>
    </row>
    <row r="46" spans="1:7" ht="13" customHeight="1" x14ac:dyDescent="0.35">
      <c r="A46" s="39">
        <v>204246601</v>
      </c>
      <c r="B46" s="68" t="s">
        <v>114</v>
      </c>
      <c r="C46" s="6" t="s">
        <v>115</v>
      </c>
      <c r="D46" s="41" t="s">
        <v>57</v>
      </c>
      <c r="E46" s="41" t="s">
        <v>58</v>
      </c>
      <c r="F46" s="41" t="s">
        <v>18</v>
      </c>
      <c r="G46" s="67" t="s">
        <v>0</v>
      </c>
    </row>
    <row r="47" spans="1:7" ht="13" customHeight="1" x14ac:dyDescent="0.35">
      <c r="A47" s="39">
        <v>204246603</v>
      </c>
      <c r="B47" s="68" t="s">
        <v>116</v>
      </c>
      <c r="C47" s="6" t="s">
        <v>117</v>
      </c>
      <c r="D47" s="41" t="s">
        <v>58</v>
      </c>
      <c r="E47" s="41" t="s">
        <v>59</v>
      </c>
      <c r="F47" s="41" t="s">
        <v>18</v>
      </c>
      <c r="G47" s="67" t="s">
        <v>0</v>
      </c>
    </row>
    <row r="48" spans="1:7" ht="13" customHeight="1" x14ac:dyDescent="0.35">
      <c r="A48" s="39">
        <v>204246163</v>
      </c>
      <c r="B48" s="68" t="s">
        <v>118</v>
      </c>
      <c r="C48" s="6" t="s">
        <v>119</v>
      </c>
      <c r="D48" s="41" t="s">
        <v>54</v>
      </c>
      <c r="E48" s="41" t="s">
        <v>55</v>
      </c>
      <c r="F48" s="41" t="s">
        <v>18</v>
      </c>
      <c r="G48" s="67" t="s">
        <v>5</v>
      </c>
    </row>
    <row r="49" spans="1:7" ht="13" customHeight="1" x14ac:dyDescent="0.35">
      <c r="A49" s="39">
        <v>202334276</v>
      </c>
      <c r="B49" s="68" t="s">
        <v>120</v>
      </c>
      <c r="C49" s="6" t="s">
        <v>121</v>
      </c>
      <c r="D49" s="41" t="s">
        <v>59</v>
      </c>
      <c r="E49" s="41" t="s">
        <v>63</v>
      </c>
      <c r="F49" s="41" t="s">
        <v>18</v>
      </c>
      <c r="G49" s="67" t="s">
        <v>0</v>
      </c>
    </row>
    <row r="50" spans="1:7" ht="13" customHeight="1" x14ac:dyDescent="0.35">
      <c r="A50" s="39">
        <v>204246608</v>
      </c>
      <c r="B50" s="68" t="s">
        <v>122</v>
      </c>
      <c r="C50" s="6" t="s">
        <v>123</v>
      </c>
      <c r="D50" s="41" t="s">
        <v>55</v>
      </c>
      <c r="E50" s="41" t="s">
        <v>60</v>
      </c>
      <c r="F50" s="41" t="s">
        <v>18</v>
      </c>
      <c r="G50" s="67" t="s">
        <v>4</v>
      </c>
    </row>
    <row r="51" spans="1:7" ht="13" customHeight="1" x14ac:dyDescent="0.35">
      <c r="A51" s="39">
        <v>204869083</v>
      </c>
      <c r="B51" s="68" t="s">
        <v>124</v>
      </c>
      <c r="C51" s="6" t="s">
        <v>125</v>
      </c>
      <c r="D51" s="41" t="s">
        <v>55</v>
      </c>
      <c r="E51" s="41" t="s">
        <v>60</v>
      </c>
      <c r="F51" s="41" t="s">
        <v>18</v>
      </c>
      <c r="G51" s="67" t="s">
        <v>0</v>
      </c>
    </row>
    <row r="52" spans="1:7" ht="13" customHeight="1" x14ac:dyDescent="0.35">
      <c r="A52" s="39">
        <v>204241393</v>
      </c>
      <c r="B52" s="68" t="s">
        <v>126</v>
      </c>
      <c r="C52" s="6" t="s">
        <v>127</v>
      </c>
      <c r="D52" s="41" t="s">
        <v>55</v>
      </c>
      <c r="E52" s="41" t="s">
        <v>60</v>
      </c>
      <c r="F52" s="41" t="s">
        <v>18</v>
      </c>
      <c r="G52" s="67" t="s">
        <v>0</v>
      </c>
    </row>
    <row r="53" spans="1:7" ht="13" customHeight="1" x14ac:dyDescent="0.35">
      <c r="A53" s="39">
        <v>204246616</v>
      </c>
      <c r="B53" s="68" t="s">
        <v>128</v>
      </c>
      <c r="C53" s="6" t="s">
        <v>129</v>
      </c>
      <c r="D53" s="41" t="s">
        <v>55</v>
      </c>
      <c r="E53" s="41" t="s">
        <v>60</v>
      </c>
      <c r="F53" s="41" t="s">
        <v>18</v>
      </c>
      <c r="G53" s="67" t="s">
        <v>0</v>
      </c>
    </row>
    <row r="54" spans="1:7" ht="13" customHeight="1" x14ac:dyDescent="0.35">
      <c r="A54" s="39">
        <v>204246611</v>
      </c>
      <c r="B54" s="68" t="s">
        <v>130</v>
      </c>
      <c r="C54" s="6" t="s">
        <v>131</v>
      </c>
      <c r="D54" s="41" t="s">
        <v>55</v>
      </c>
      <c r="E54" s="41" t="s">
        <v>60</v>
      </c>
      <c r="F54" s="41" t="s">
        <v>18</v>
      </c>
      <c r="G54" s="67" t="s">
        <v>4</v>
      </c>
    </row>
    <row r="55" spans="1:7" ht="13" customHeight="1" x14ac:dyDescent="0.35">
      <c r="A55" s="39">
        <v>204868850</v>
      </c>
      <c r="B55" s="68" t="s">
        <v>133</v>
      </c>
      <c r="C55" s="6" t="s">
        <v>134</v>
      </c>
      <c r="D55" s="41" t="s">
        <v>58</v>
      </c>
      <c r="E55" s="41" t="s">
        <v>59</v>
      </c>
      <c r="F55" s="41" t="s">
        <v>18</v>
      </c>
      <c r="G55" s="67" t="s">
        <v>4</v>
      </c>
    </row>
    <row r="56" spans="1:7" ht="13" customHeight="1" x14ac:dyDescent="0.35">
      <c r="A56" s="39">
        <v>204246610</v>
      </c>
      <c r="B56" s="68" t="s">
        <v>135</v>
      </c>
      <c r="C56" s="6" t="s">
        <v>136</v>
      </c>
      <c r="D56" s="41" t="s">
        <v>55</v>
      </c>
      <c r="E56" s="41" t="s">
        <v>60</v>
      </c>
      <c r="F56" s="41" t="s">
        <v>18</v>
      </c>
      <c r="G56" s="67" t="s">
        <v>0</v>
      </c>
    </row>
    <row r="57" spans="1:7" ht="13" customHeight="1" x14ac:dyDescent="0.35">
      <c r="A57" s="39">
        <v>204246607</v>
      </c>
      <c r="B57" s="68" t="s">
        <v>137</v>
      </c>
      <c r="C57" s="6" t="s">
        <v>138</v>
      </c>
      <c r="D57" s="41" t="s">
        <v>58</v>
      </c>
      <c r="E57" s="41" t="s">
        <v>59</v>
      </c>
      <c r="F57" s="41" t="s">
        <v>18</v>
      </c>
      <c r="G57" s="67" t="s">
        <v>0</v>
      </c>
    </row>
    <row r="58" spans="1:7" ht="13" customHeight="1" x14ac:dyDescent="0.35">
      <c r="A58" s="39">
        <v>204883236</v>
      </c>
      <c r="B58" s="68" t="s">
        <v>139</v>
      </c>
      <c r="C58" s="6" t="s">
        <v>140</v>
      </c>
      <c r="D58" s="41" t="s">
        <v>63</v>
      </c>
      <c r="E58" s="41" t="s">
        <v>54</v>
      </c>
      <c r="F58" s="41" t="s">
        <v>18</v>
      </c>
      <c r="G58" s="67" t="s">
        <v>5</v>
      </c>
    </row>
    <row r="59" spans="1:7" ht="13" customHeight="1" x14ac:dyDescent="0.35">
      <c r="A59" s="39">
        <v>204883085</v>
      </c>
      <c r="B59" s="68" t="s">
        <v>141</v>
      </c>
      <c r="C59" s="6" t="s">
        <v>142</v>
      </c>
      <c r="D59" s="41" t="s">
        <v>54</v>
      </c>
      <c r="E59" s="41" t="s">
        <v>55</v>
      </c>
      <c r="F59" s="41" t="s">
        <v>18</v>
      </c>
      <c r="G59" s="67" t="s">
        <v>5</v>
      </c>
    </row>
    <row r="60" spans="1:7" ht="13" customHeight="1" x14ac:dyDescent="0.35">
      <c r="A60" s="39">
        <v>204869096</v>
      </c>
      <c r="B60" s="68" t="s">
        <v>143</v>
      </c>
      <c r="C60" s="6" t="s">
        <v>144</v>
      </c>
      <c r="D60" s="41" t="s">
        <v>54</v>
      </c>
      <c r="E60" s="41" t="s">
        <v>55</v>
      </c>
      <c r="F60" s="41" t="s">
        <v>18</v>
      </c>
      <c r="G60" s="67" t="s">
        <v>5</v>
      </c>
    </row>
    <row r="61" spans="1:7" ht="13" customHeight="1" x14ac:dyDescent="0.35">
      <c r="A61" s="39">
        <v>204869088</v>
      </c>
      <c r="B61" s="68" t="s">
        <v>145</v>
      </c>
      <c r="C61" s="6" t="s">
        <v>146</v>
      </c>
      <c r="D61" s="41" t="s">
        <v>59</v>
      </c>
      <c r="E61" s="41" t="s">
        <v>63</v>
      </c>
      <c r="F61" s="41" t="s">
        <v>18</v>
      </c>
      <c r="G61" s="67" t="s">
        <v>0</v>
      </c>
    </row>
    <row r="62" spans="1:7" ht="13" customHeight="1" x14ac:dyDescent="0.35">
      <c r="A62" s="39">
        <v>204252239</v>
      </c>
      <c r="B62" s="68" t="s">
        <v>147</v>
      </c>
      <c r="C62" s="6" t="s">
        <v>148</v>
      </c>
      <c r="D62" s="41" t="s">
        <v>58</v>
      </c>
      <c r="E62" s="41" t="s">
        <v>59</v>
      </c>
      <c r="F62" s="41" t="s">
        <v>18</v>
      </c>
      <c r="G62" s="67" t="s">
        <v>0</v>
      </c>
    </row>
    <row r="63" spans="1:7" ht="13" customHeight="1" x14ac:dyDescent="0.35">
      <c r="A63" s="39">
        <v>204869092</v>
      </c>
      <c r="B63" s="68" t="s">
        <v>149</v>
      </c>
      <c r="C63" s="6" t="s">
        <v>150</v>
      </c>
      <c r="D63" s="41" t="s">
        <v>59</v>
      </c>
      <c r="E63" s="41" t="s">
        <v>63</v>
      </c>
      <c r="F63" s="41" t="s">
        <v>18</v>
      </c>
      <c r="G63" s="67" t="s">
        <v>0</v>
      </c>
    </row>
    <row r="64" spans="1:7" ht="13" customHeight="1" x14ac:dyDescent="0.35">
      <c r="A64" s="39">
        <v>204883247</v>
      </c>
      <c r="B64" s="68" t="s">
        <v>151</v>
      </c>
      <c r="C64" s="6" t="s">
        <v>152</v>
      </c>
      <c r="D64" s="41" t="s">
        <v>55</v>
      </c>
      <c r="E64" s="41" t="s">
        <v>60</v>
      </c>
      <c r="F64" s="41" t="s">
        <v>18</v>
      </c>
      <c r="G64" s="67" t="s">
        <v>0</v>
      </c>
    </row>
    <row r="65" spans="1:7" ht="13" customHeight="1" x14ac:dyDescent="0.35">
      <c r="A65" s="39">
        <v>204868854</v>
      </c>
      <c r="B65" s="68" t="s">
        <v>153</v>
      </c>
      <c r="C65" s="6" t="s">
        <v>154</v>
      </c>
      <c r="D65" s="41" t="s">
        <v>55</v>
      </c>
      <c r="E65" s="41" t="s">
        <v>60</v>
      </c>
      <c r="F65" s="41" t="s">
        <v>18</v>
      </c>
      <c r="G65" s="67" t="s">
        <v>0</v>
      </c>
    </row>
    <row r="66" spans="1:7" ht="13" customHeight="1" x14ac:dyDescent="0.35">
      <c r="A66" s="39">
        <v>204246604</v>
      </c>
      <c r="B66" s="68" t="s">
        <v>155</v>
      </c>
      <c r="C66" s="6" t="s">
        <v>156</v>
      </c>
      <c r="D66" s="41" t="s">
        <v>55</v>
      </c>
      <c r="E66" s="41" t="s">
        <v>60</v>
      </c>
      <c r="F66" s="41" t="s">
        <v>18</v>
      </c>
      <c r="G66" s="67" t="s">
        <v>0</v>
      </c>
    </row>
    <row r="67" spans="1:7" ht="13" customHeight="1" x14ac:dyDescent="0.35">
      <c r="A67" s="39">
        <v>201633155</v>
      </c>
      <c r="B67" s="68" t="s">
        <v>157</v>
      </c>
      <c r="C67" s="6" t="s">
        <v>158</v>
      </c>
      <c r="D67" s="41" t="s">
        <v>54</v>
      </c>
      <c r="E67" s="41" t="s">
        <v>58</v>
      </c>
      <c r="F67" s="41" t="s">
        <v>18</v>
      </c>
      <c r="G67" s="67" t="s">
        <v>5</v>
      </c>
    </row>
    <row r="68" spans="1:7" ht="13" customHeight="1" x14ac:dyDescent="0.35">
      <c r="A68" s="39">
        <v>204883234</v>
      </c>
      <c r="B68" s="68" t="s">
        <v>159</v>
      </c>
      <c r="C68" s="6" t="s">
        <v>160</v>
      </c>
      <c r="D68" s="41" t="s">
        <v>55</v>
      </c>
      <c r="E68" s="41" t="s">
        <v>60</v>
      </c>
      <c r="F68" s="41" t="s">
        <v>18</v>
      </c>
      <c r="G68" s="67" t="s">
        <v>0</v>
      </c>
    </row>
    <row r="69" spans="1:7" ht="13" customHeight="1" x14ac:dyDescent="0.35">
      <c r="A69" s="39">
        <v>204883245</v>
      </c>
      <c r="B69" s="68" t="s">
        <v>161</v>
      </c>
      <c r="C69" s="6" t="s">
        <v>162</v>
      </c>
      <c r="D69" s="41" t="s">
        <v>55</v>
      </c>
      <c r="E69" s="41" t="s">
        <v>60</v>
      </c>
      <c r="F69" s="41" t="s">
        <v>18</v>
      </c>
      <c r="G69" s="67" t="s">
        <v>0</v>
      </c>
    </row>
    <row r="70" spans="1:7" ht="13" customHeight="1" x14ac:dyDescent="0.35">
      <c r="A70" s="39">
        <v>204405779</v>
      </c>
      <c r="B70" s="68" t="s">
        <v>163</v>
      </c>
      <c r="C70" s="6" t="s">
        <v>164</v>
      </c>
      <c r="D70" s="41" t="s">
        <v>63</v>
      </c>
      <c r="E70" s="41" t="s">
        <v>54</v>
      </c>
      <c r="F70" s="41" t="s">
        <v>18</v>
      </c>
      <c r="G70" s="67" t="s">
        <v>5</v>
      </c>
    </row>
    <row r="71" spans="1:7" ht="13" customHeight="1" x14ac:dyDescent="0.35">
      <c r="A71" s="39">
        <v>204869089</v>
      </c>
      <c r="B71" s="68" t="s">
        <v>165</v>
      </c>
      <c r="C71" s="6" t="s">
        <v>166</v>
      </c>
      <c r="D71" s="41" t="s">
        <v>58</v>
      </c>
      <c r="E71" s="41" t="s">
        <v>59</v>
      </c>
      <c r="F71" s="41" t="s">
        <v>18</v>
      </c>
      <c r="G71" s="67" t="s">
        <v>0</v>
      </c>
    </row>
    <row r="72" spans="1:7" ht="13" customHeight="1" x14ac:dyDescent="0.35">
      <c r="A72" s="39">
        <v>204883081</v>
      </c>
      <c r="B72" s="68" t="s">
        <v>167</v>
      </c>
      <c r="C72" s="6" t="s">
        <v>168</v>
      </c>
      <c r="D72" s="41" t="s">
        <v>55</v>
      </c>
      <c r="E72" s="41" t="s">
        <v>60</v>
      </c>
      <c r="F72" s="41" t="s">
        <v>18</v>
      </c>
      <c r="G72" s="67" t="s">
        <v>0</v>
      </c>
    </row>
    <row r="73" spans="1:7" ht="13" customHeight="1" x14ac:dyDescent="0.35">
      <c r="A73" s="39">
        <v>204883239</v>
      </c>
      <c r="B73" s="68" t="s">
        <v>169</v>
      </c>
      <c r="C73" s="6" t="s">
        <v>170</v>
      </c>
      <c r="D73" s="41" t="s">
        <v>54</v>
      </c>
      <c r="E73" s="41" t="s">
        <v>55</v>
      </c>
      <c r="F73" s="41" t="s">
        <v>18</v>
      </c>
      <c r="G73" s="67" t="s">
        <v>5</v>
      </c>
    </row>
    <row r="74" spans="1:7" ht="13" customHeight="1" x14ac:dyDescent="0.35">
      <c r="A74" s="39">
        <v>204246169</v>
      </c>
      <c r="B74" s="68" t="s">
        <v>171</v>
      </c>
      <c r="C74" s="6" t="s">
        <v>172</v>
      </c>
      <c r="D74" s="41" t="s">
        <v>58</v>
      </c>
      <c r="E74" s="41" t="s">
        <v>59</v>
      </c>
      <c r="F74" s="41" t="s">
        <v>18</v>
      </c>
      <c r="G74" s="67" t="s">
        <v>0</v>
      </c>
    </row>
    <row r="75" spans="1:7" ht="13" customHeight="1" x14ac:dyDescent="0.35">
      <c r="A75" s="39">
        <v>204246605</v>
      </c>
      <c r="B75" s="68" t="s">
        <v>173</v>
      </c>
      <c r="C75" s="6" t="s">
        <v>174</v>
      </c>
      <c r="D75" s="41" t="s">
        <v>60</v>
      </c>
      <c r="E75" s="41" t="s">
        <v>57</v>
      </c>
      <c r="F75" s="41" t="s">
        <v>18</v>
      </c>
      <c r="G75" s="67" t="s">
        <v>4</v>
      </c>
    </row>
    <row r="76" spans="1:7" ht="13" customHeight="1" x14ac:dyDescent="0.35">
      <c r="A76" s="39">
        <v>202444409</v>
      </c>
      <c r="B76" s="68" t="s">
        <v>175</v>
      </c>
      <c r="C76" s="6" t="s">
        <v>176</v>
      </c>
      <c r="D76" s="41" t="s">
        <v>55</v>
      </c>
      <c r="E76" s="41" t="s">
        <v>60</v>
      </c>
      <c r="F76" s="41" t="s">
        <v>18</v>
      </c>
      <c r="G76" s="67" t="s">
        <v>0</v>
      </c>
    </row>
    <row r="77" spans="1:7" ht="13" customHeight="1" x14ac:dyDescent="0.35">
      <c r="A77" s="39">
        <v>204246606</v>
      </c>
      <c r="B77" s="68" t="s">
        <v>177</v>
      </c>
      <c r="C77" s="6" t="s">
        <v>178</v>
      </c>
      <c r="D77" s="41" t="s">
        <v>54</v>
      </c>
      <c r="E77" s="41" t="s">
        <v>55</v>
      </c>
      <c r="F77" s="41" t="s">
        <v>18</v>
      </c>
      <c r="G77" s="67" t="s">
        <v>5</v>
      </c>
    </row>
    <row r="78" spans="1:7" ht="13" customHeight="1" x14ac:dyDescent="0.35">
      <c r="A78" s="39">
        <v>204869087</v>
      </c>
      <c r="B78" s="68" t="s">
        <v>179</v>
      </c>
      <c r="C78" s="6" t="s">
        <v>180</v>
      </c>
      <c r="D78" s="41" t="s">
        <v>55</v>
      </c>
      <c r="E78" s="41" t="s">
        <v>60</v>
      </c>
      <c r="F78" s="41" t="s">
        <v>18</v>
      </c>
      <c r="G78" s="67" t="s">
        <v>0</v>
      </c>
    </row>
    <row r="79" spans="1:7" ht="13" customHeight="1" x14ac:dyDescent="0.35">
      <c r="A79" s="39">
        <v>204246613</v>
      </c>
      <c r="B79" s="68" t="s">
        <v>181</v>
      </c>
      <c r="C79" s="6" t="s">
        <v>182</v>
      </c>
      <c r="D79" s="41" t="s">
        <v>55</v>
      </c>
      <c r="E79" s="41" t="s">
        <v>60</v>
      </c>
      <c r="F79" s="41" t="s">
        <v>18</v>
      </c>
      <c r="G79" s="67" t="s">
        <v>0</v>
      </c>
    </row>
    <row r="80" spans="1:7" ht="13" customHeight="1" x14ac:dyDescent="0.35">
      <c r="A80" s="39">
        <v>204246612</v>
      </c>
      <c r="B80" s="68" t="s">
        <v>183</v>
      </c>
      <c r="C80" s="6" t="s">
        <v>184</v>
      </c>
      <c r="D80" s="41" t="s">
        <v>63</v>
      </c>
      <c r="E80" s="41" t="s">
        <v>54</v>
      </c>
      <c r="F80" s="41" t="s">
        <v>18</v>
      </c>
      <c r="G80" s="67" t="s">
        <v>5</v>
      </c>
    </row>
    <row r="81" spans="1:7" ht="13" customHeight="1" x14ac:dyDescent="0.35">
      <c r="A81" s="39">
        <v>202435289</v>
      </c>
      <c r="B81" s="68" t="s">
        <v>185</v>
      </c>
      <c r="C81" s="6" t="s">
        <v>186</v>
      </c>
      <c r="D81" s="41" t="s">
        <v>55</v>
      </c>
      <c r="E81" s="41" t="s">
        <v>60</v>
      </c>
      <c r="F81" s="41" t="s">
        <v>18</v>
      </c>
      <c r="G81" s="67" t="s">
        <v>0</v>
      </c>
    </row>
    <row r="82" spans="1:7" ht="13" customHeight="1" x14ac:dyDescent="0.35">
      <c r="A82" s="39">
        <v>204117189</v>
      </c>
      <c r="B82" s="68" t="s">
        <v>187</v>
      </c>
      <c r="C82" s="6" t="s">
        <v>188</v>
      </c>
      <c r="D82" s="41" t="s">
        <v>63</v>
      </c>
      <c r="E82" s="41" t="s">
        <v>54</v>
      </c>
      <c r="F82" s="41" t="s">
        <v>20</v>
      </c>
      <c r="G82" s="67" t="s">
        <v>5</v>
      </c>
    </row>
    <row r="83" spans="1:7" ht="13" customHeight="1" x14ac:dyDescent="0.35">
      <c r="A83" s="39">
        <v>201502749</v>
      </c>
      <c r="B83" s="68" t="s">
        <v>189</v>
      </c>
      <c r="C83" s="6" t="s">
        <v>190</v>
      </c>
      <c r="D83" s="41" t="s">
        <v>54</v>
      </c>
      <c r="E83" s="41" t="s">
        <v>55</v>
      </c>
      <c r="F83" s="41" t="s">
        <v>20</v>
      </c>
      <c r="G83" s="67" t="s">
        <v>5</v>
      </c>
    </row>
    <row r="84" spans="1:7" ht="13" customHeight="1" x14ac:dyDescent="0.35">
      <c r="A84" s="39">
        <v>204299070</v>
      </c>
      <c r="B84" s="68" t="s">
        <v>191</v>
      </c>
      <c r="C84" s="6" t="s">
        <v>192</v>
      </c>
      <c r="D84" s="41" t="s">
        <v>57</v>
      </c>
      <c r="E84" s="41" t="s">
        <v>58</v>
      </c>
      <c r="F84" s="41" t="s">
        <v>20</v>
      </c>
      <c r="G84" s="67" t="s">
        <v>4</v>
      </c>
    </row>
    <row r="85" spans="1:7" ht="13" customHeight="1" x14ac:dyDescent="0.35">
      <c r="A85" s="39">
        <v>204116439</v>
      </c>
      <c r="B85" s="68" t="s">
        <v>193</v>
      </c>
      <c r="C85" s="6" t="s">
        <v>194</v>
      </c>
      <c r="D85" s="41" t="s">
        <v>55</v>
      </c>
      <c r="E85" s="41" t="s">
        <v>60</v>
      </c>
      <c r="F85" s="41" t="s">
        <v>20</v>
      </c>
      <c r="G85" s="67" t="s">
        <v>4</v>
      </c>
    </row>
    <row r="86" spans="1:7" ht="13" customHeight="1" x14ac:dyDescent="0.35">
      <c r="A86" s="39">
        <v>112649477</v>
      </c>
      <c r="B86" s="68" t="s">
        <v>195</v>
      </c>
      <c r="C86" s="6" t="s">
        <v>196</v>
      </c>
      <c r="D86" s="41" t="s">
        <v>55</v>
      </c>
      <c r="E86" s="41" t="s">
        <v>60</v>
      </c>
      <c r="F86" s="41" t="s">
        <v>20</v>
      </c>
      <c r="G86" s="67" t="s">
        <v>0</v>
      </c>
    </row>
    <row r="87" spans="1:7" ht="13" customHeight="1" x14ac:dyDescent="0.35">
      <c r="A87" s="39">
        <v>204319794</v>
      </c>
      <c r="B87" s="68" t="s">
        <v>197</v>
      </c>
      <c r="C87" s="6" t="s">
        <v>198</v>
      </c>
      <c r="D87" s="41" t="s">
        <v>59</v>
      </c>
      <c r="E87" s="41" t="s">
        <v>63</v>
      </c>
      <c r="F87" s="41" t="s">
        <v>20</v>
      </c>
      <c r="G87" s="67" t="s">
        <v>0</v>
      </c>
    </row>
    <row r="88" spans="1:7" ht="13" customHeight="1" x14ac:dyDescent="0.35">
      <c r="A88" s="39">
        <v>201161555</v>
      </c>
      <c r="B88" s="68" t="s">
        <v>199</v>
      </c>
      <c r="C88" s="6" t="s">
        <v>200</v>
      </c>
      <c r="D88" s="41" t="s">
        <v>63</v>
      </c>
      <c r="E88" s="41" t="s">
        <v>54</v>
      </c>
      <c r="F88" s="41" t="s">
        <v>20</v>
      </c>
      <c r="G88" s="67" t="s">
        <v>5</v>
      </c>
    </row>
    <row r="89" spans="1:7" ht="13" customHeight="1" x14ac:dyDescent="0.35">
      <c r="A89" s="39">
        <v>204117188</v>
      </c>
      <c r="B89" s="68" t="s">
        <v>201</v>
      </c>
      <c r="C89" s="6" t="s">
        <v>202</v>
      </c>
      <c r="D89" s="41" t="s">
        <v>58</v>
      </c>
      <c r="E89" s="41" t="s">
        <v>59</v>
      </c>
      <c r="F89" s="41" t="s">
        <v>20</v>
      </c>
      <c r="G89" s="67" t="s">
        <v>0</v>
      </c>
    </row>
    <row r="90" spans="1:7" ht="13" customHeight="1" x14ac:dyDescent="0.35">
      <c r="A90" s="39">
        <v>204137703</v>
      </c>
      <c r="B90" s="68" t="s">
        <v>203</v>
      </c>
      <c r="C90" s="6" t="s">
        <v>204</v>
      </c>
      <c r="D90" s="41" t="s">
        <v>59</v>
      </c>
      <c r="E90" s="41" t="s">
        <v>63</v>
      </c>
      <c r="F90" s="41" t="s">
        <v>20</v>
      </c>
      <c r="G90" s="67" t="s">
        <v>0</v>
      </c>
    </row>
    <row r="91" spans="1:7" ht="13" customHeight="1" x14ac:dyDescent="0.35">
      <c r="A91" s="39">
        <v>204299063</v>
      </c>
      <c r="B91" s="68" t="s">
        <v>205</v>
      </c>
      <c r="C91" s="6" t="s">
        <v>206</v>
      </c>
      <c r="D91" s="41" t="s">
        <v>54</v>
      </c>
      <c r="E91" s="41" t="s">
        <v>55</v>
      </c>
      <c r="F91" s="41" t="s">
        <v>20</v>
      </c>
      <c r="G91" s="67" t="s">
        <v>5</v>
      </c>
    </row>
    <row r="92" spans="1:7" ht="13" customHeight="1" x14ac:dyDescent="0.35">
      <c r="A92" s="39">
        <v>108196835</v>
      </c>
      <c r="B92" s="68" t="s">
        <v>207</v>
      </c>
      <c r="C92" s="6" t="s">
        <v>208</v>
      </c>
      <c r="D92" s="41" t="s">
        <v>55</v>
      </c>
      <c r="E92" s="41" t="s">
        <v>60</v>
      </c>
      <c r="F92" s="41" t="s">
        <v>20</v>
      </c>
      <c r="G92" s="67" t="s">
        <v>0</v>
      </c>
    </row>
    <row r="93" spans="1:7" ht="13" customHeight="1" x14ac:dyDescent="0.35">
      <c r="A93" s="39">
        <v>204145465</v>
      </c>
      <c r="B93" s="68" t="s">
        <v>209</v>
      </c>
      <c r="C93" s="6" t="s">
        <v>210</v>
      </c>
      <c r="D93" s="41" t="s">
        <v>59</v>
      </c>
      <c r="E93" s="41" t="s">
        <v>63</v>
      </c>
      <c r="F93" s="41" t="s">
        <v>20</v>
      </c>
      <c r="G93" s="67" t="s">
        <v>0</v>
      </c>
    </row>
    <row r="94" spans="1:7" ht="13" customHeight="1" x14ac:dyDescent="0.35">
      <c r="A94" s="39">
        <v>204319798</v>
      </c>
      <c r="B94" s="68" t="s">
        <v>211</v>
      </c>
      <c r="C94" s="6" t="s">
        <v>212</v>
      </c>
      <c r="D94" s="41" t="s">
        <v>63</v>
      </c>
      <c r="E94" s="41" t="s">
        <v>54</v>
      </c>
      <c r="F94" s="41" t="s">
        <v>20</v>
      </c>
      <c r="G94" s="67" t="s">
        <v>5</v>
      </c>
    </row>
    <row r="95" spans="1:7" ht="13" customHeight="1" x14ac:dyDescent="0.35">
      <c r="A95" s="39">
        <v>204094216</v>
      </c>
      <c r="B95" s="68" t="s">
        <v>359</v>
      </c>
      <c r="C95" s="6" t="s">
        <v>360</v>
      </c>
      <c r="D95" s="41" t="s">
        <v>58</v>
      </c>
      <c r="E95" s="41" t="s">
        <v>59</v>
      </c>
      <c r="F95" s="41" t="s">
        <v>20</v>
      </c>
      <c r="G95" s="67" t="s">
        <v>0</v>
      </c>
    </row>
    <row r="96" spans="1:7" ht="13" customHeight="1" x14ac:dyDescent="0.35">
      <c r="A96" s="39">
        <v>204116867</v>
      </c>
      <c r="B96" s="68" t="s">
        <v>213</v>
      </c>
      <c r="C96" s="6" t="s">
        <v>214</v>
      </c>
      <c r="D96" s="41" t="s">
        <v>58</v>
      </c>
      <c r="E96" s="41" t="s">
        <v>59</v>
      </c>
      <c r="F96" s="41" t="s">
        <v>20</v>
      </c>
      <c r="G96" s="67" t="s">
        <v>4</v>
      </c>
    </row>
    <row r="97" spans="1:7" ht="13" customHeight="1" x14ac:dyDescent="0.35">
      <c r="A97" s="39">
        <v>204138500</v>
      </c>
      <c r="B97" s="68" t="s">
        <v>215</v>
      </c>
      <c r="C97" s="6" t="s">
        <v>216</v>
      </c>
      <c r="D97" s="41" t="s">
        <v>57</v>
      </c>
      <c r="E97" s="41" t="s">
        <v>58</v>
      </c>
      <c r="F97" s="41" t="s">
        <v>20</v>
      </c>
      <c r="G97" s="67" t="s">
        <v>0</v>
      </c>
    </row>
    <row r="98" spans="1:7" ht="13" customHeight="1" x14ac:dyDescent="0.35">
      <c r="A98" s="39">
        <v>204319808</v>
      </c>
      <c r="B98" s="68" t="s">
        <v>217</v>
      </c>
      <c r="C98" s="6" t="s">
        <v>218</v>
      </c>
      <c r="D98" s="41" t="s">
        <v>55</v>
      </c>
      <c r="E98" s="41" t="s">
        <v>60</v>
      </c>
      <c r="F98" s="41" t="s">
        <v>20</v>
      </c>
      <c r="G98" s="67" t="s">
        <v>0</v>
      </c>
    </row>
    <row r="99" spans="1:7" ht="13" customHeight="1" x14ac:dyDescent="0.35">
      <c r="A99" s="39">
        <v>204094215</v>
      </c>
      <c r="B99" s="68" t="s">
        <v>219</v>
      </c>
      <c r="C99" s="6" t="s">
        <v>220</v>
      </c>
      <c r="D99" s="41" t="s">
        <v>59</v>
      </c>
      <c r="E99" s="41" t="s">
        <v>63</v>
      </c>
      <c r="F99" s="41" t="s">
        <v>20</v>
      </c>
      <c r="G99" s="67" t="s">
        <v>4</v>
      </c>
    </row>
    <row r="100" spans="1:7" ht="13" customHeight="1" x14ac:dyDescent="0.35">
      <c r="A100" s="39">
        <v>204138116</v>
      </c>
      <c r="B100" s="68" t="s">
        <v>221</v>
      </c>
      <c r="C100" s="6" t="s">
        <v>222</v>
      </c>
      <c r="D100" s="41" t="s">
        <v>59</v>
      </c>
      <c r="E100" s="41" t="s">
        <v>63</v>
      </c>
      <c r="F100" s="41" t="s">
        <v>20</v>
      </c>
      <c r="G100" s="67" t="s">
        <v>0</v>
      </c>
    </row>
    <row r="101" spans="1:7" ht="13" customHeight="1" x14ac:dyDescent="0.35">
      <c r="A101" s="39">
        <v>204137705</v>
      </c>
      <c r="B101" s="68" t="s">
        <v>223</v>
      </c>
      <c r="C101" s="6" t="s">
        <v>224</v>
      </c>
      <c r="D101" s="41" t="s">
        <v>60</v>
      </c>
      <c r="E101" s="41" t="s">
        <v>57</v>
      </c>
      <c r="F101" s="41" t="s">
        <v>20</v>
      </c>
      <c r="G101" s="67" t="s">
        <v>0</v>
      </c>
    </row>
    <row r="102" spans="1:7" ht="13" customHeight="1" x14ac:dyDescent="0.35">
      <c r="A102" s="39">
        <v>202460493</v>
      </c>
      <c r="B102" s="68" t="s">
        <v>225</v>
      </c>
      <c r="C102" s="6" t="s">
        <v>226</v>
      </c>
      <c r="D102" s="41" t="s">
        <v>57</v>
      </c>
      <c r="E102" s="41" t="s">
        <v>58</v>
      </c>
      <c r="F102" s="41" t="s">
        <v>20</v>
      </c>
      <c r="G102" s="67" t="s">
        <v>4</v>
      </c>
    </row>
    <row r="103" spans="1:7" ht="13" customHeight="1" x14ac:dyDescent="0.35">
      <c r="A103" s="39">
        <v>204138121</v>
      </c>
      <c r="B103" s="68" t="s">
        <v>227</v>
      </c>
      <c r="C103" s="6" t="s">
        <v>228</v>
      </c>
      <c r="D103" s="41" t="s">
        <v>54</v>
      </c>
      <c r="E103" s="41" t="s">
        <v>55</v>
      </c>
      <c r="F103" s="41" t="s">
        <v>20</v>
      </c>
      <c r="G103" s="67" t="s">
        <v>5</v>
      </c>
    </row>
    <row r="104" spans="1:7" ht="13" customHeight="1" x14ac:dyDescent="0.35">
      <c r="A104" s="39">
        <v>204299547</v>
      </c>
      <c r="B104" s="68" t="s">
        <v>229</v>
      </c>
      <c r="C104" s="6" t="s">
        <v>230</v>
      </c>
      <c r="D104" s="41" t="s">
        <v>57</v>
      </c>
      <c r="E104" s="41" t="s">
        <v>58</v>
      </c>
      <c r="F104" s="41" t="s">
        <v>20</v>
      </c>
      <c r="G104" s="67" t="s">
        <v>0</v>
      </c>
    </row>
    <row r="105" spans="1:7" ht="13" customHeight="1" x14ac:dyDescent="0.35">
      <c r="A105" s="39">
        <v>204116868</v>
      </c>
      <c r="B105" s="68" t="s">
        <v>231</v>
      </c>
      <c r="C105" s="6" t="s">
        <v>232</v>
      </c>
      <c r="D105" s="41" t="s">
        <v>58</v>
      </c>
      <c r="E105" s="41" t="s">
        <v>59</v>
      </c>
      <c r="F105" s="41" t="s">
        <v>20</v>
      </c>
      <c r="G105" s="67" t="s">
        <v>0</v>
      </c>
    </row>
    <row r="106" spans="1:7" ht="13" customHeight="1" x14ac:dyDescent="0.35">
      <c r="A106" s="39">
        <v>202198840</v>
      </c>
      <c r="B106" s="68" t="s">
        <v>233</v>
      </c>
      <c r="C106" s="6" t="s">
        <v>234</v>
      </c>
      <c r="D106" s="41" t="s">
        <v>57</v>
      </c>
      <c r="E106" s="41" t="s">
        <v>58</v>
      </c>
      <c r="F106" s="41" t="s">
        <v>20</v>
      </c>
      <c r="G106" s="67" t="s">
        <v>0</v>
      </c>
    </row>
    <row r="107" spans="1:7" ht="13" customHeight="1" x14ac:dyDescent="0.35">
      <c r="A107" s="39">
        <v>204319796</v>
      </c>
      <c r="B107" s="68" t="s">
        <v>235</v>
      </c>
      <c r="C107" s="6" t="s">
        <v>236</v>
      </c>
      <c r="D107" s="41" t="s">
        <v>58</v>
      </c>
      <c r="E107" s="41" t="s">
        <v>59</v>
      </c>
      <c r="F107" s="41" t="s">
        <v>20</v>
      </c>
      <c r="G107" s="67" t="s">
        <v>4</v>
      </c>
    </row>
    <row r="108" spans="1:7" ht="13" customHeight="1" x14ac:dyDescent="0.35">
      <c r="A108" s="39">
        <v>204117681</v>
      </c>
      <c r="B108" s="68" t="s">
        <v>237</v>
      </c>
      <c r="C108" s="6" t="s">
        <v>238</v>
      </c>
      <c r="D108" s="41" t="s">
        <v>54</v>
      </c>
      <c r="E108" s="41" t="s">
        <v>55</v>
      </c>
      <c r="F108" s="41" t="s">
        <v>20</v>
      </c>
      <c r="G108" s="67" t="s">
        <v>5</v>
      </c>
    </row>
    <row r="109" spans="1:7" ht="13" customHeight="1" x14ac:dyDescent="0.35">
      <c r="A109" s="39">
        <v>204095806</v>
      </c>
      <c r="B109" s="68" t="s">
        <v>239</v>
      </c>
      <c r="C109" s="6" t="s">
        <v>240</v>
      </c>
      <c r="D109" s="41" t="s">
        <v>63</v>
      </c>
      <c r="E109" s="41" t="s">
        <v>54</v>
      </c>
      <c r="F109" s="41" t="s">
        <v>20</v>
      </c>
      <c r="G109" s="67" t="s">
        <v>5</v>
      </c>
    </row>
    <row r="110" spans="1:7" ht="13" customHeight="1" x14ac:dyDescent="0.35">
      <c r="A110" s="39">
        <v>202436104</v>
      </c>
      <c r="B110" s="68" t="s">
        <v>241</v>
      </c>
      <c r="C110" s="6" t="s">
        <v>242</v>
      </c>
      <c r="D110" s="41" t="s">
        <v>60</v>
      </c>
      <c r="E110" s="41" t="s">
        <v>57</v>
      </c>
      <c r="F110" s="41" t="s">
        <v>20</v>
      </c>
      <c r="G110" s="67" t="s">
        <v>0</v>
      </c>
    </row>
    <row r="111" spans="1:7" ht="13" customHeight="1" x14ac:dyDescent="0.35">
      <c r="A111" s="39">
        <v>204138118</v>
      </c>
      <c r="B111" s="68" t="s">
        <v>243</v>
      </c>
      <c r="C111" s="6" t="s">
        <v>244</v>
      </c>
      <c r="D111" s="41" t="s">
        <v>58</v>
      </c>
      <c r="E111" s="41" t="s">
        <v>59</v>
      </c>
      <c r="F111" s="41" t="s">
        <v>20</v>
      </c>
      <c r="G111" s="67" t="s">
        <v>0</v>
      </c>
    </row>
    <row r="112" spans="1:7" ht="13" customHeight="1" x14ac:dyDescent="0.35">
      <c r="A112" s="39">
        <v>204117684</v>
      </c>
      <c r="B112" s="68" t="s">
        <v>245</v>
      </c>
      <c r="C112" s="6" t="s">
        <v>246</v>
      </c>
      <c r="D112" s="41" t="s">
        <v>57</v>
      </c>
      <c r="E112" s="41" t="s">
        <v>58</v>
      </c>
      <c r="F112" s="41" t="s">
        <v>20</v>
      </c>
      <c r="G112" s="67" t="s">
        <v>0</v>
      </c>
    </row>
    <row r="113" spans="1:7" ht="13" customHeight="1" x14ac:dyDescent="0.35">
      <c r="A113" s="39">
        <v>204138115</v>
      </c>
      <c r="B113" s="68" t="s">
        <v>247</v>
      </c>
      <c r="C113" s="6" t="s">
        <v>248</v>
      </c>
      <c r="D113" s="41" t="s">
        <v>55</v>
      </c>
      <c r="E113" s="41" t="s">
        <v>60</v>
      </c>
      <c r="F113" s="41" t="s">
        <v>20</v>
      </c>
      <c r="G113" s="67" t="s">
        <v>0</v>
      </c>
    </row>
    <row r="114" spans="1:7" ht="13" customHeight="1" x14ac:dyDescent="0.35">
      <c r="A114" s="39">
        <v>113167122</v>
      </c>
      <c r="B114" s="68" t="s">
        <v>249</v>
      </c>
      <c r="C114" s="6" t="s">
        <v>250</v>
      </c>
      <c r="D114" s="41" t="s">
        <v>57</v>
      </c>
      <c r="E114" s="41" t="s">
        <v>58</v>
      </c>
      <c r="F114" s="41" t="s">
        <v>20</v>
      </c>
      <c r="G114" s="67" t="s">
        <v>0</v>
      </c>
    </row>
    <row r="115" spans="1:7" ht="13" customHeight="1" x14ac:dyDescent="0.35">
      <c r="A115" s="39">
        <v>201857481</v>
      </c>
      <c r="B115" s="68" t="s">
        <v>251</v>
      </c>
      <c r="C115" s="6" t="s">
        <v>252</v>
      </c>
      <c r="D115" s="41" t="s">
        <v>58</v>
      </c>
      <c r="E115" s="41" t="s">
        <v>59</v>
      </c>
      <c r="F115" s="41" t="s">
        <v>20</v>
      </c>
      <c r="G115" s="67" t="s">
        <v>3</v>
      </c>
    </row>
    <row r="116" spans="1:7" ht="13" customHeight="1" x14ac:dyDescent="0.35">
      <c r="A116" s="39">
        <v>112851838</v>
      </c>
      <c r="B116" s="68" t="s">
        <v>342</v>
      </c>
      <c r="C116" s="6" t="s">
        <v>343</v>
      </c>
      <c r="D116" s="41" t="s">
        <v>63</v>
      </c>
      <c r="E116" s="41" t="s">
        <v>54</v>
      </c>
      <c r="F116" s="41" t="s">
        <v>20</v>
      </c>
      <c r="G116" s="67" t="s">
        <v>5</v>
      </c>
    </row>
    <row r="117" spans="1:7" ht="13" customHeight="1" x14ac:dyDescent="0.35">
      <c r="A117" s="39">
        <v>204116441</v>
      </c>
      <c r="B117" s="68" t="s">
        <v>253</v>
      </c>
      <c r="C117" s="6" t="s">
        <v>254</v>
      </c>
      <c r="D117" s="41" t="s">
        <v>58</v>
      </c>
      <c r="E117" s="41" t="s">
        <v>59</v>
      </c>
      <c r="F117" s="41" t="s">
        <v>20</v>
      </c>
      <c r="G117" s="67" t="s">
        <v>4</v>
      </c>
    </row>
    <row r="118" spans="1:7" ht="13" customHeight="1" x14ac:dyDescent="0.35">
      <c r="A118" s="39">
        <v>202419640</v>
      </c>
      <c r="B118" s="68" t="s">
        <v>255</v>
      </c>
      <c r="C118" s="6" t="s">
        <v>256</v>
      </c>
      <c r="D118" s="41" t="s">
        <v>55</v>
      </c>
      <c r="E118" s="41" t="s">
        <v>60</v>
      </c>
      <c r="F118" s="41" t="s">
        <v>20</v>
      </c>
      <c r="G118" s="67" t="s">
        <v>0</v>
      </c>
    </row>
    <row r="119" spans="1:7" ht="13" customHeight="1" x14ac:dyDescent="0.35">
      <c r="A119" s="39">
        <v>204138114</v>
      </c>
      <c r="B119" s="68" t="s">
        <v>257</v>
      </c>
      <c r="C119" s="6" t="s">
        <v>258</v>
      </c>
      <c r="D119" s="41" t="s">
        <v>63</v>
      </c>
      <c r="E119" s="41" t="s">
        <v>54</v>
      </c>
      <c r="F119" s="41" t="s">
        <v>20</v>
      </c>
      <c r="G119" s="67" t="s">
        <v>5</v>
      </c>
    </row>
    <row r="120" spans="1:7" ht="13" customHeight="1" x14ac:dyDescent="0.35">
      <c r="A120" s="39">
        <v>113090848</v>
      </c>
      <c r="B120" s="68" t="s">
        <v>259</v>
      </c>
      <c r="C120" s="63" t="s">
        <v>260</v>
      </c>
      <c r="D120" s="41" t="s">
        <v>55</v>
      </c>
      <c r="E120" s="41" t="s">
        <v>60</v>
      </c>
      <c r="F120" s="41" t="s">
        <v>20</v>
      </c>
      <c r="G120" s="67" t="s">
        <v>0</v>
      </c>
    </row>
    <row r="121" spans="1:7" ht="13" customHeight="1" x14ac:dyDescent="0.35">
      <c r="A121" s="39">
        <v>113090891</v>
      </c>
      <c r="B121" s="68" t="s">
        <v>261</v>
      </c>
      <c r="C121" s="63" t="s">
        <v>262</v>
      </c>
      <c r="D121" s="41" t="s">
        <v>57</v>
      </c>
      <c r="E121" s="41" t="s">
        <v>58</v>
      </c>
      <c r="F121" s="41" t="s">
        <v>20</v>
      </c>
      <c r="G121" s="67" t="s">
        <v>0</v>
      </c>
    </row>
    <row r="122" spans="1:7" ht="13" customHeight="1" x14ac:dyDescent="0.35">
      <c r="A122" s="39">
        <v>204094492</v>
      </c>
      <c r="B122" s="68" t="s">
        <v>263</v>
      </c>
      <c r="C122" s="63" t="s">
        <v>264</v>
      </c>
      <c r="D122" s="41" t="s">
        <v>63</v>
      </c>
      <c r="E122" s="41" t="s">
        <v>54</v>
      </c>
      <c r="F122" s="41" t="s">
        <v>20</v>
      </c>
      <c r="G122" s="67" t="s">
        <v>5</v>
      </c>
    </row>
    <row r="123" spans="1:7" ht="13" customHeight="1" x14ac:dyDescent="0.35">
      <c r="A123" s="39">
        <v>204095809</v>
      </c>
      <c r="B123" s="68" t="s">
        <v>265</v>
      </c>
      <c r="C123" s="6" t="s">
        <v>266</v>
      </c>
      <c r="D123" s="41" t="s">
        <v>63</v>
      </c>
      <c r="E123" s="41" t="s">
        <v>54</v>
      </c>
      <c r="F123" s="41" t="s">
        <v>20</v>
      </c>
      <c r="G123" s="67" t="s">
        <v>5</v>
      </c>
    </row>
    <row r="124" spans="1:7" ht="13" customHeight="1" x14ac:dyDescent="0.35">
      <c r="A124" s="39">
        <v>204116442</v>
      </c>
      <c r="B124" s="68" t="s">
        <v>267</v>
      </c>
      <c r="C124" s="6" t="s">
        <v>268</v>
      </c>
      <c r="D124" s="41" t="s">
        <v>54</v>
      </c>
      <c r="E124" s="41" t="s">
        <v>55</v>
      </c>
      <c r="F124" s="41" t="s">
        <v>20</v>
      </c>
      <c r="G124" s="67" t="s">
        <v>5</v>
      </c>
    </row>
    <row r="125" spans="1:7" ht="13" customHeight="1" x14ac:dyDescent="0.35">
      <c r="A125" s="39">
        <v>204117683</v>
      </c>
      <c r="B125" s="68" t="s">
        <v>269</v>
      </c>
      <c r="C125" s="6" t="s">
        <v>270</v>
      </c>
      <c r="D125" s="41" t="s">
        <v>58</v>
      </c>
      <c r="E125" s="41" t="s">
        <v>59</v>
      </c>
      <c r="F125" s="41" t="s">
        <v>20</v>
      </c>
      <c r="G125" s="67" t="s">
        <v>0</v>
      </c>
    </row>
    <row r="126" spans="1:7" ht="13" customHeight="1" x14ac:dyDescent="0.35">
      <c r="A126" s="39">
        <v>204137711</v>
      </c>
      <c r="B126" s="68" t="s">
        <v>271</v>
      </c>
      <c r="C126" s="6" t="s">
        <v>272</v>
      </c>
      <c r="D126" s="41" t="s">
        <v>59</v>
      </c>
      <c r="E126" s="41" t="s">
        <v>63</v>
      </c>
      <c r="F126" s="41" t="s">
        <v>20</v>
      </c>
      <c r="G126" s="67" t="s">
        <v>5</v>
      </c>
    </row>
    <row r="127" spans="1:7" ht="13" customHeight="1" x14ac:dyDescent="0.35">
      <c r="A127" s="39">
        <v>204138127</v>
      </c>
      <c r="B127" s="68" t="s">
        <v>273</v>
      </c>
      <c r="C127" s="6" t="s">
        <v>274</v>
      </c>
      <c r="D127" s="41" t="s">
        <v>60</v>
      </c>
      <c r="E127" s="41" t="s">
        <v>57</v>
      </c>
      <c r="F127" s="41" t="s">
        <v>20</v>
      </c>
      <c r="G127" s="67" t="s">
        <v>0</v>
      </c>
    </row>
    <row r="128" spans="1:7" ht="13" customHeight="1" x14ac:dyDescent="0.35">
      <c r="A128" s="39">
        <v>204138128</v>
      </c>
      <c r="B128" s="68" t="s">
        <v>277</v>
      </c>
      <c r="C128" s="6" t="s">
        <v>278</v>
      </c>
      <c r="D128" s="41" t="s">
        <v>54</v>
      </c>
      <c r="E128" s="41" t="s">
        <v>55</v>
      </c>
      <c r="F128" s="41" t="s">
        <v>20</v>
      </c>
      <c r="G128" s="67" t="s">
        <v>5</v>
      </c>
    </row>
    <row r="129" spans="1:7" ht="13" customHeight="1" x14ac:dyDescent="0.35">
      <c r="A129" s="39">
        <v>204094494</v>
      </c>
      <c r="B129" s="68" t="s">
        <v>279</v>
      </c>
      <c r="C129" s="6" t="s">
        <v>280</v>
      </c>
      <c r="D129" s="41" t="s">
        <v>63</v>
      </c>
      <c r="E129" s="41" t="s">
        <v>54</v>
      </c>
      <c r="F129" s="41" t="s">
        <v>20</v>
      </c>
      <c r="G129" s="67" t="s">
        <v>5</v>
      </c>
    </row>
    <row r="130" spans="1:7" ht="13" customHeight="1" x14ac:dyDescent="0.35">
      <c r="A130" s="39">
        <v>204467948</v>
      </c>
      <c r="B130" s="68" t="s">
        <v>281</v>
      </c>
      <c r="C130" s="6" t="s">
        <v>282</v>
      </c>
      <c r="D130" s="41" t="s">
        <v>57</v>
      </c>
      <c r="E130" s="41" t="s">
        <v>58</v>
      </c>
      <c r="F130" s="41" t="s">
        <v>20</v>
      </c>
      <c r="G130" s="67" t="s">
        <v>0</v>
      </c>
    </row>
    <row r="131" spans="1:7" ht="13" customHeight="1" x14ac:dyDescent="0.35">
      <c r="A131" s="39">
        <v>204331928</v>
      </c>
      <c r="B131" s="68" t="s">
        <v>283</v>
      </c>
      <c r="C131" s="6" t="s">
        <v>284</v>
      </c>
      <c r="D131" s="41" t="s">
        <v>59</v>
      </c>
      <c r="E131" s="41" t="s">
        <v>63</v>
      </c>
      <c r="F131" s="41" t="s">
        <v>20</v>
      </c>
      <c r="G131" s="67" t="s">
        <v>0</v>
      </c>
    </row>
    <row r="132" spans="1:7" ht="13" customHeight="1" x14ac:dyDescent="0.35">
      <c r="A132" s="39">
        <v>204094496</v>
      </c>
      <c r="B132" s="68" t="s">
        <v>285</v>
      </c>
      <c r="C132" s="6" t="s">
        <v>286</v>
      </c>
      <c r="D132" s="41" t="s">
        <v>57</v>
      </c>
      <c r="E132" s="41" t="s">
        <v>58</v>
      </c>
      <c r="F132" s="41" t="s">
        <v>20</v>
      </c>
      <c r="G132" s="67" t="s">
        <v>0</v>
      </c>
    </row>
    <row r="133" spans="1:7" ht="13" customHeight="1" x14ac:dyDescent="0.35">
      <c r="A133" s="39">
        <v>201536170</v>
      </c>
      <c r="B133" s="68" t="s">
        <v>287</v>
      </c>
      <c r="C133" s="6" t="s">
        <v>288</v>
      </c>
      <c r="D133" s="41" t="s">
        <v>63</v>
      </c>
      <c r="E133" s="41" t="s">
        <v>54</v>
      </c>
      <c r="F133" s="41" t="s">
        <v>20</v>
      </c>
      <c r="G133" s="67" t="s">
        <v>5</v>
      </c>
    </row>
    <row r="134" spans="1:7" ht="13" customHeight="1" x14ac:dyDescent="0.35">
      <c r="A134" s="39">
        <v>112549647</v>
      </c>
      <c r="B134" s="68" t="s">
        <v>289</v>
      </c>
      <c r="C134" s="6" t="s">
        <v>290</v>
      </c>
      <c r="D134" s="41" t="s">
        <v>60</v>
      </c>
      <c r="E134" s="41" t="s">
        <v>57</v>
      </c>
      <c r="F134" s="41" t="s">
        <v>20</v>
      </c>
      <c r="G134" s="67" t="s">
        <v>0</v>
      </c>
    </row>
    <row r="135" spans="1:7" ht="13" customHeight="1" x14ac:dyDescent="0.35">
      <c r="A135" s="39">
        <v>202199036</v>
      </c>
      <c r="B135" s="68" t="s">
        <v>291</v>
      </c>
      <c r="C135" s="6" t="s">
        <v>292</v>
      </c>
      <c r="D135" s="41" t="s">
        <v>54</v>
      </c>
      <c r="E135" s="41" t="s">
        <v>55</v>
      </c>
      <c r="F135" s="41" t="s">
        <v>20</v>
      </c>
      <c r="G135" s="67" t="s">
        <v>5</v>
      </c>
    </row>
    <row r="136" spans="1:7" ht="13" customHeight="1" x14ac:dyDescent="0.35">
      <c r="A136" s="39">
        <v>201264954</v>
      </c>
      <c r="B136" s="68" t="s">
        <v>293</v>
      </c>
      <c r="C136" s="6" t="s">
        <v>294</v>
      </c>
      <c r="D136" s="41" t="s">
        <v>54</v>
      </c>
      <c r="E136" s="41" t="s">
        <v>55</v>
      </c>
      <c r="F136" s="41" t="s">
        <v>20</v>
      </c>
      <c r="G136" s="67" t="s">
        <v>5</v>
      </c>
    </row>
    <row r="137" spans="1:7" ht="13" customHeight="1" x14ac:dyDescent="0.35">
      <c r="A137" s="39">
        <v>204117685</v>
      </c>
      <c r="B137" s="68" t="s">
        <v>295</v>
      </c>
      <c r="C137" s="6" t="s">
        <v>296</v>
      </c>
      <c r="D137" s="41" t="s">
        <v>58</v>
      </c>
      <c r="E137" s="41" t="s">
        <v>59</v>
      </c>
      <c r="F137" s="41" t="s">
        <v>20</v>
      </c>
      <c r="G137" s="67" t="s">
        <v>0</v>
      </c>
    </row>
    <row r="138" spans="1:7" ht="13" customHeight="1" x14ac:dyDescent="0.35">
      <c r="A138" s="39">
        <v>204116445</v>
      </c>
      <c r="B138" s="68" t="s">
        <v>297</v>
      </c>
      <c r="C138" s="6" t="s">
        <v>298</v>
      </c>
      <c r="D138" s="41" t="s">
        <v>55</v>
      </c>
      <c r="E138" s="41" t="s">
        <v>60</v>
      </c>
      <c r="F138" s="41" t="s">
        <v>20</v>
      </c>
      <c r="G138" s="67" t="s">
        <v>4</v>
      </c>
    </row>
    <row r="139" spans="1:7" ht="13" customHeight="1" x14ac:dyDescent="0.35">
      <c r="A139" s="39">
        <v>204095447</v>
      </c>
      <c r="B139" s="68" t="s">
        <v>299</v>
      </c>
      <c r="C139" s="6" t="s">
        <v>300</v>
      </c>
      <c r="D139" s="41" t="s">
        <v>60</v>
      </c>
      <c r="E139" s="41" t="s">
        <v>57</v>
      </c>
      <c r="F139" s="41" t="s">
        <v>20</v>
      </c>
      <c r="G139" s="67" t="s">
        <v>4</v>
      </c>
    </row>
    <row r="140" spans="1:7" ht="13" customHeight="1" x14ac:dyDescent="0.35">
      <c r="A140" s="39">
        <v>204137704</v>
      </c>
      <c r="B140" s="68" t="s">
        <v>301</v>
      </c>
      <c r="C140" s="6" t="s">
        <v>302</v>
      </c>
      <c r="D140" s="41" t="s">
        <v>55</v>
      </c>
      <c r="E140" s="41" t="s">
        <v>60</v>
      </c>
      <c r="F140" s="41" t="s">
        <v>20</v>
      </c>
      <c r="G140" s="67" t="s">
        <v>0</v>
      </c>
    </row>
    <row r="141" spans="1:7" ht="13" customHeight="1" x14ac:dyDescent="0.35">
      <c r="A141" s="39">
        <v>204869099</v>
      </c>
      <c r="B141" s="68" t="s">
        <v>340</v>
      </c>
      <c r="C141" s="6" t="s">
        <v>341</v>
      </c>
      <c r="D141" s="41" t="s">
        <v>55</v>
      </c>
      <c r="E141" s="41" t="s">
        <v>60</v>
      </c>
      <c r="F141" s="41" t="s">
        <v>20</v>
      </c>
      <c r="G141" s="67" t="s">
        <v>4</v>
      </c>
    </row>
    <row r="142" spans="1:7" ht="13" customHeight="1" x14ac:dyDescent="0.35">
      <c r="A142" s="39">
        <v>204095810</v>
      </c>
      <c r="B142" s="68" t="s">
        <v>303</v>
      </c>
      <c r="C142" s="6" t="s">
        <v>304</v>
      </c>
      <c r="D142" s="41" t="s">
        <v>55</v>
      </c>
      <c r="E142" s="41" t="s">
        <v>60</v>
      </c>
      <c r="F142" s="41" t="s">
        <v>20</v>
      </c>
      <c r="G142" s="67" t="s">
        <v>0</v>
      </c>
    </row>
    <row r="143" spans="1:7" ht="13" customHeight="1" x14ac:dyDescent="0.35">
      <c r="A143" s="39">
        <v>204246155</v>
      </c>
      <c r="B143" s="68" t="s">
        <v>56</v>
      </c>
      <c r="C143" s="6" t="s">
        <v>339</v>
      </c>
      <c r="D143" s="41" t="s">
        <v>54</v>
      </c>
      <c r="E143" s="41" t="s">
        <v>55</v>
      </c>
      <c r="F143" s="41" t="s">
        <v>48</v>
      </c>
      <c r="G143" s="67" t="s">
        <v>5</v>
      </c>
    </row>
    <row r="144" spans="1:7" ht="13" customHeight="1" x14ac:dyDescent="0.35">
      <c r="A144" s="39">
        <v>202137760</v>
      </c>
      <c r="B144" s="68" t="s">
        <v>305</v>
      </c>
      <c r="C144" s="6" t="s">
        <v>306</v>
      </c>
      <c r="D144" s="41" t="s">
        <v>63</v>
      </c>
      <c r="E144" s="41" t="s">
        <v>54</v>
      </c>
      <c r="F144" s="41" t="s">
        <v>48</v>
      </c>
      <c r="G144" s="67" t="s">
        <v>5</v>
      </c>
    </row>
    <row r="145" spans="1:7" ht="13" customHeight="1" x14ac:dyDescent="0.35">
      <c r="A145" s="39">
        <v>111243925</v>
      </c>
      <c r="B145" s="68" t="s">
        <v>308</v>
      </c>
      <c r="C145" s="6" t="s">
        <v>309</v>
      </c>
      <c r="D145" s="41" t="s">
        <v>57</v>
      </c>
      <c r="E145" s="41" t="s">
        <v>58</v>
      </c>
      <c r="F145" s="41" t="s">
        <v>48</v>
      </c>
      <c r="G145" s="67" t="s">
        <v>0</v>
      </c>
    </row>
    <row r="146" spans="1:7" ht="13" customHeight="1" x14ac:dyDescent="0.35">
      <c r="A146" s="39">
        <v>204341639</v>
      </c>
      <c r="B146" s="68" t="s">
        <v>72</v>
      </c>
      <c r="C146" s="6" t="s">
        <v>369</v>
      </c>
      <c r="D146" s="41" t="s">
        <v>60</v>
      </c>
      <c r="E146" s="41" t="s">
        <v>57</v>
      </c>
      <c r="F146" s="41" t="s">
        <v>48</v>
      </c>
      <c r="G146" s="67" t="s">
        <v>0</v>
      </c>
    </row>
    <row r="147" spans="1:7" ht="13" customHeight="1" x14ac:dyDescent="0.35">
      <c r="A147" s="39">
        <v>204137712</v>
      </c>
      <c r="B147" s="68" t="s">
        <v>312</v>
      </c>
      <c r="C147" s="6" t="s">
        <v>313</v>
      </c>
      <c r="D147" s="41" t="s">
        <v>58</v>
      </c>
      <c r="E147" s="41" t="s">
        <v>59</v>
      </c>
      <c r="F147" s="41" t="s">
        <v>48</v>
      </c>
      <c r="G147" s="67" t="s">
        <v>4</v>
      </c>
    </row>
    <row r="148" spans="1:7" ht="13" customHeight="1" x14ac:dyDescent="0.35">
      <c r="A148" s="39">
        <v>204094495</v>
      </c>
      <c r="B148" s="68" t="s">
        <v>275</v>
      </c>
      <c r="C148" s="6" t="s">
        <v>276</v>
      </c>
      <c r="D148" s="41" t="s">
        <v>55</v>
      </c>
      <c r="E148" s="41" t="s">
        <v>60</v>
      </c>
      <c r="F148" s="41" t="s">
        <v>48</v>
      </c>
      <c r="G148" s="67" t="s">
        <v>4</v>
      </c>
    </row>
    <row r="149" spans="1:7" ht="13" customHeight="1" x14ac:dyDescent="0.35">
      <c r="A149" s="39">
        <v>204115629</v>
      </c>
      <c r="B149" s="68" t="s">
        <v>314</v>
      </c>
      <c r="C149" s="6" t="s">
        <v>315</v>
      </c>
      <c r="D149" s="41" t="s">
        <v>54</v>
      </c>
      <c r="E149" s="41" t="s">
        <v>55</v>
      </c>
      <c r="F149" s="41" t="s">
        <v>48</v>
      </c>
      <c r="G149" s="67" t="s">
        <v>5</v>
      </c>
    </row>
    <row r="150" spans="1:7" ht="13" customHeight="1" x14ac:dyDescent="0.35">
      <c r="A150" s="39">
        <v>205247340</v>
      </c>
      <c r="B150" s="68" t="s">
        <v>365</v>
      </c>
      <c r="C150" s="6" t="s">
        <v>366</v>
      </c>
      <c r="D150" s="41" t="s">
        <v>55</v>
      </c>
      <c r="E150" s="41" t="s">
        <v>60</v>
      </c>
      <c r="F150" s="41" t="s">
        <v>316</v>
      </c>
      <c r="G150" s="67" t="s">
        <v>0</v>
      </c>
    </row>
    <row r="151" spans="1:7" ht="13" customHeight="1" x14ac:dyDescent="0.35">
      <c r="A151" s="39">
        <v>204886250</v>
      </c>
      <c r="B151" s="68" t="s">
        <v>317</v>
      </c>
      <c r="C151" s="6" t="s">
        <v>318</v>
      </c>
      <c r="D151" s="41" t="s">
        <v>63</v>
      </c>
      <c r="E151" s="41" t="s">
        <v>54</v>
      </c>
      <c r="F151" s="41" t="s">
        <v>316</v>
      </c>
      <c r="G151" s="67" t="s">
        <v>5</v>
      </c>
    </row>
    <row r="152" spans="1:7" ht="13" customHeight="1" x14ac:dyDescent="0.35">
      <c r="A152" s="39">
        <v>202383469</v>
      </c>
      <c r="B152" s="68" t="s">
        <v>319</v>
      </c>
      <c r="C152" s="6" t="s">
        <v>320</v>
      </c>
      <c r="D152" s="41" t="s">
        <v>57</v>
      </c>
      <c r="E152" s="41" t="s">
        <v>58</v>
      </c>
      <c r="F152" s="41" t="s">
        <v>316</v>
      </c>
      <c r="G152" s="67" t="s">
        <v>0</v>
      </c>
    </row>
  </sheetData>
  <phoneticPr fontId="9" type="noConversion"/>
  <conditionalFormatting sqref="A1">
    <cfRule type="duplicateValues" dxfId="111" priority="44730"/>
    <cfRule type="duplicateValues" dxfId="110" priority="44731"/>
    <cfRule type="duplicateValues" dxfId="109" priority="44732"/>
  </conditionalFormatting>
  <conditionalFormatting sqref="A153:A1048576 A1">
    <cfRule type="duplicateValues" dxfId="108" priority="63716"/>
  </conditionalFormatting>
  <conditionalFormatting sqref="B1">
    <cfRule type="duplicateValues" dxfId="107" priority="44742"/>
    <cfRule type="duplicateValues" dxfId="106" priority="44743"/>
    <cfRule type="duplicateValues" dxfId="105" priority="44744"/>
  </conditionalFormatting>
  <conditionalFormatting sqref="B153:B1048576 B1">
    <cfRule type="duplicateValues" dxfId="104" priority="63719"/>
  </conditionalFormatting>
  <conditionalFormatting sqref="B153:B1048576">
    <cfRule type="duplicateValues" dxfId="103" priority="63722"/>
    <cfRule type="duplicateValues" dxfId="102" priority="63723"/>
    <cfRule type="duplicateValues" dxfId="101" priority="63724"/>
    <cfRule type="duplicateValues" dxfId="100" priority="63725"/>
  </conditionalFormatting>
  <conditionalFormatting sqref="B1:C1">
    <cfRule type="duplicateValues" dxfId="99" priority="44771"/>
  </conditionalFormatting>
  <conditionalFormatting sqref="C1">
    <cfRule type="duplicateValues" dxfId="98" priority="42730"/>
  </conditionalFormatting>
  <conditionalFormatting sqref="G2:G1048576">
    <cfRule type="containsText" dxfId="97" priority="42706" operator="containsText" text="AB">
      <formula>NOT(ISERROR(SEARCH("AB",G2)))</formula>
    </cfRule>
    <cfRule type="containsText" dxfId="96" priority="42707" operator="containsText" text="SL">
      <formula>NOT(ISERROR(SEARCH("SL",G2)))</formula>
    </cfRule>
    <cfRule type="containsText" dxfId="95" priority="42708" operator="containsText" text="EL">
      <formula>NOT(ISERROR(SEARCH("EL",G2)))</formula>
    </cfRule>
    <cfRule type="containsText" dxfId="94" priority="42709" operator="containsText" text="PL">
      <formula>NOT(ISERROR(SEARCH("PL",G2)))</formula>
    </cfRule>
    <cfRule type="containsText" dxfId="93" priority="42710" operator="containsText" text="P">
      <formula>NOT(ISERROR(SEARCH("P",G2)))</formula>
    </cfRule>
  </conditionalFormatting>
  <conditionalFormatting sqref="G2:G152">
    <cfRule type="containsText" dxfId="92" priority="119" operator="containsText" text="OFF">
      <formula>NOT(ISERROR(SEARCH("OFF",G2)))</formula>
    </cfRule>
    <cfRule type="containsText" dxfId="91" priority="126" operator="containsText" text="ABWI">
      <formula>NOT(ISERROR(SEARCH("ABWI",G2)))</formula>
    </cfRule>
  </conditionalFormatting>
  <conditionalFormatting sqref="G153:G1048576">
    <cfRule type="containsText" dxfId="90" priority="8597" operator="containsText" text="ABWI">
      <formula>NOT(ISERROR(SEARCH("ABWI",G153)))</formula>
    </cfRule>
    <cfRule type="containsText" dxfId="89" priority="8821" operator="containsText" text="OFF">
      <formula>NOT(ISERROR(SEARCH("OFF",G153)))</formula>
    </cfRule>
  </conditionalFormatting>
  <conditionalFormatting sqref="A150:A152">
    <cfRule type="duplicateValues" dxfId="88" priority="63935"/>
    <cfRule type="duplicateValues" dxfId="87" priority="63936"/>
  </conditionalFormatting>
  <conditionalFormatting sqref="A150:C152">
    <cfRule type="duplicateValues" dxfId="86" priority="63937"/>
    <cfRule type="duplicateValues" dxfId="85" priority="63938"/>
  </conditionalFormatting>
  <conditionalFormatting sqref="B150:B152">
    <cfRule type="duplicateValues" dxfId="84" priority="63939"/>
    <cfRule type="duplicateValues" dxfId="83" priority="63940"/>
    <cfRule type="duplicateValues" dxfId="82" priority="63941"/>
    <cfRule type="duplicateValues" dxfId="81" priority="63942"/>
    <cfRule type="duplicateValues" dxfId="80" priority="63943"/>
    <cfRule type="duplicateValues" dxfId="79" priority="63944"/>
  </conditionalFormatting>
  <conditionalFormatting sqref="B150:B152">
    <cfRule type="duplicateValues" dxfId="78" priority="63945"/>
  </conditionalFormatting>
  <conditionalFormatting sqref="C150:C152">
    <cfRule type="duplicateValues" dxfId="77" priority="63946"/>
    <cfRule type="duplicateValues" dxfId="76" priority="63947"/>
  </conditionalFormatting>
  <conditionalFormatting sqref="C150:C152">
    <cfRule type="duplicateValues" dxfId="75" priority="63948"/>
    <cfRule type="duplicateValues" dxfId="74" priority="63949"/>
    <cfRule type="duplicateValues" dxfId="73" priority="63950"/>
    <cfRule type="duplicateValues" dxfId="72" priority="63951"/>
    <cfRule type="duplicateValues" dxfId="71" priority="63952"/>
    <cfRule type="duplicateValues" dxfId="70" priority="63953"/>
    <cfRule type="duplicateValues" dxfId="69" priority="63954"/>
    <cfRule type="duplicateValues" dxfId="68" priority="63955"/>
  </conditionalFormatting>
  <conditionalFormatting sqref="A149">
    <cfRule type="duplicateValues" dxfId="67" priority="63988"/>
    <cfRule type="duplicateValues" dxfId="66" priority="63989"/>
    <cfRule type="duplicateValues" dxfId="65" priority="63990"/>
    <cfRule type="duplicateValues" dxfId="64" priority="63991"/>
    <cfRule type="duplicateValues" dxfId="63" priority="63992"/>
    <cfRule type="duplicateValues" dxfId="62" priority="63993"/>
    <cfRule type="duplicateValues" dxfId="61" priority="63994"/>
    <cfRule type="duplicateValues" dxfId="60" priority="63995"/>
  </conditionalFormatting>
  <conditionalFormatting sqref="A146:A148">
    <cfRule type="duplicateValues" dxfId="59" priority="64102"/>
  </conditionalFormatting>
  <conditionalFormatting sqref="A145">
    <cfRule type="duplicateValues" dxfId="58" priority="64175"/>
  </conditionalFormatting>
  <conditionalFormatting sqref="A142:A144">
    <cfRule type="duplicateValues" dxfId="57" priority="64253"/>
  </conditionalFormatting>
  <conditionalFormatting sqref="A140:A141">
    <cfRule type="duplicateValues" dxfId="56" priority="64378"/>
  </conditionalFormatting>
  <conditionalFormatting sqref="A138:A139">
    <cfRule type="duplicateValues" dxfId="55" priority="64418"/>
  </conditionalFormatting>
  <conditionalFormatting sqref="A137">
    <cfRule type="duplicateValues" dxfId="54" priority="64458"/>
  </conditionalFormatting>
  <conditionalFormatting sqref="A134:A136">
    <cfRule type="duplicateValues" dxfId="53" priority="64538"/>
  </conditionalFormatting>
  <conditionalFormatting sqref="A127:A133">
    <cfRule type="duplicateValues" dxfId="52" priority="64778"/>
  </conditionalFormatting>
  <conditionalFormatting sqref="B123:B125">
    <cfRule type="duplicateValues" dxfId="51" priority="64930"/>
    <cfRule type="duplicateValues" dxfId="50" priority="64931"/>
    <cfRule type="duplicateValues" dxfId="49" priority="64932"/>
    <cfRule type="duplicateValues" dxfId="48" priority="64933"/>
  </conditionalFormatting>
  <conditionalFormatting sqref="A123:A126">
    <cfRule type="duplicateValues" dxfId="47" priority="64934"/>
  </conditionalFormatting>
  <conditionalFormatting sqref="A120:A122">
    <cfRule type="duplicateValues" dxfId="46" priority="65076"/>
  </conditionalFormatting>
  <conditionalFormatting sqref="B120:B122">
    <cfRule type="duplicateValues" dxfId="45" priority="65077"/>
    <cfRule type="duplicateValues" dxfId="44" priority="65078"/>
    <cfRule type="duplicateValues" dxfId="43" priority="65079"/>
    <cfRule type="duplicateValues" dxfId="42" priority="65080"/>
  </conditionalFormatting>
  <conditionalFormatting sqref="C120:C122">
    <cfRule type="duplicateValues" dxfId="41" priority="65081"/>
  </conditionalFormatting>
  <conditionalFormatting sqref="A113:B113">
    <cfRule type="duplicateValues" dxfId="40" priority="65244"/>
    <cfRule type="duplicateValues" dxfId="39" priority="65245"/>
  </conditionalFormatting>
  <conditionalFormatting sqref="A114:A119">
    <cfRule type="duplicateValues" dxfId="38" priority="65269"/>
  </conditionalFormatting>
  <conditionalFormatting sqref="B114:B119">
    <cfRule type="duplicateValues" dxfId="37" priority="65270"/>
    <cfRule type="duplicateValues" dxfId="36" priority="65271"/>
  </conditionalFormatting>
  <conditionalFormatting sqref="A112:B112">
    <cfRule type="duplicateValues" dxfId="35" priority="65364"/>
    <cfRule type="duplicateValues" dxfId="34" priority="65365"/>
  </conditionalFormatting>
  <conditionalFormatting sqref="A111:B111">
    <cfRule type="duplicateValues" dxfId="33" priority="65413"/>
    <cfRule type="duplicateValues" dxfId="32" priority="65414"/>
  </conditionalFormatting>
  <conditionalFormatting sqref="A108:B110">
    <cfRule type="duplicateValues" dxfId="31" priority="65565"/>
    <cfRule type="duplicateValues" dxfId="30" priority="65566"/>
  </conditionalFormatting>
  <conditionalFormatting sqref="A106:B107">
    <cfRule type="duplicateValues" dxfId="29" priority="65672"/>
  </conditionalFormatting>
  <conditionalFormatting sqref="C106:C119">
    <cfRule type="duplicateValues" dxfId="28" priority="65675"/>
  </conditionalFormatting>
  <conditionalFormatting sqref="A85:B107 A2:C84 C85:C105">
    <cfRule type="duplicateValues" dxfId="27" priority="66582"/>
  </conditionalFormatting>
  <conditionalFormatting sqref="B2:B113">
    <cfRule type="duplicateValues" dxfId="26" priority="69819"/>
  </conditionalFormatting>
  <conditionalFormatting sqref="B2:B119">
    <cfRule type="duplicateValues" dxfId="25" priority="69820"/>
    <cfRule type="duplicateValues" dxfId="24" priority="69821"/>
  </conditionalFormatting>
  <conditionalFormatting sqref="B2:B149">
    <cfRule type="duplicateValues" dxfId="23" priority="69822"/>
    <cfRule type="duplicateValues" dxfId="22" priority="69823"/>
    <cfRule type="duplicateValues" dxfId="21" priority="69824"/>
  </conditionalFormatting>
  <conditionalFormatting sqref="C2:C148">
    <cfRule type="duplicateValues" dxfId="20" priority="69825"/>
  </conditionalFormatting>
  <conditionalFormatting sqref="A2:A152">
    <cfRule type="duplicateValues" dxfId="19" priority="69826"/>
    <cfRule type="duplicateValues" dxfId="18" priority="69827"/>
  </conditionalFormatting>
  <conditionalFormatting sqref="B2:B152">
    <cfRule type="duplicateValues" dxfId="17" priority="69828"/>
    <cfRule type="duplicateValues" dxfId="16" priority="69829"/>
  </conditionalFormatting>
  <conditionalFormatting sqref="A1:C1">
    <cfRule type="duplicateValues" dxfId="15" priority="69831"/>
  </conditionalFormatting>
  <conditionalFormatting sqref="B1">
    <cfRule type="duplicateValues" dxfId="14" priority="69832"/>
    <cfRule type="duplicateValues" dxfId="13" priority="69833"/>
    <cfRule type="duplicateValues" dxfId="12" priority="69834"/>
    <cfRule type="duplicateValues" dxfId="11" priority="69835"/>
    <cfRule type="duplicateValues" dxfId="10" priority="69836"/>
    <cfRule type="duplicateValues" dxfId="9" priority="69837"/>
    <cfRule type="duplicateValues" dxfId="8" priority="69838"/>
    <cfRule type="duplicateValues" dxfId="7" priority="69839"/>
    <cfRule type="duplicateValues" dxfId="6" priority="69840"/>
    <cfRule type="duplicateValues" dxfId="5" priority="69841"/>
    <cfRule type="duplicateValues" dxfId="4" priority="69842"/>
    <cfRule type="duplicateValues" dxfId="3" priority="69843"/>
    <cfRule type="duplicateValues" dxfId="2" priority="69844"/>
    <cfRule type="duplicateValues" dxfId="1" priority="69845"/>
    <cfRule type="duplicateValues" dxfId="0" priority="69846"/>
  </conditionalFormatting>
  <pageMargins left="1.0899999999999999" right="0.7" top="0.75" bottom="0.75" header="0.3" footer="0.3"/>
  <pageSetup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Muhammad [C]</cp:lastModifiedBy>
  <cp:lastPrinted>2026-07-21T20:38:31Z</cp:lastPrinted>
  <dcterms:created xsi:type="dcterms:W3CDTF">2015-06-05T18:17:20Z</dcterms:created>
  <dcterms:modified xsi:type="dcterms:W3CDTF">2026-08-07T21:09:50Z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